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hidePivotFieldList="1"/>
  <mc:AlternateContent xmlns:mc="http://schemas.openxmlformats.org/markup-compatibility/2006">
    <mc:Choice Requires="x15">
      <x15ac:absPath xmlns:x15ac="http://schemas.microsoft.com/office/spreadsheetml/2010/11/ac" url="https://alumnosunir-my.sharepoint.com/personal/pablo_alejandre184_comunidadunir_net/Documents/TFG/Proyecto/"/>
    </mc:Choice>
  </mc:AlternateContent>
  <xr:revisionPtr revIDLastSave="1607" documentId="8_{1E9813A3-617F-7C49-A097-EE16879FF342}" xr6:coauthVersionLast="47" xr6:coauthVersionMax="47" xr10:uidLastSave="{97755D61-1A2F-C644-88D9-2B829370584A}"/>
  <bookViews>
    <workbookView xWindow="0" yWindow="500" windowWidth="28800" windowHeight="16100" activeTab="1" xr2:uid="{00000000-000D-0000-FFFF-FFFF00000000}"/>
  </bookViews>
  <sheets>
    <sheet name="Tabla Gartner" sheetId="7" r:id="rId1"/>
    <sheet name="Informe" sheetId="10" r:id="rId2"/>
    <sheet name="Tabla PM Solutions" sheetId="6" r:id="rId3"/>
    <sheet name="TABLA Gartner - Matrix" sheetId="5" r:id="rId4"/>
    <sheet name="ListaPMOs" sheetId="1" r:id="rId5"/>
    <sheet name="Tabla Recomendaciones" sheetId="9" r:id="rId6"/>
    <sheet name="Informe - Backup" sheetId="4" r:id="rId7"/>
  </sheets>
  <externalReferences>
    <externalReference r:id="rId8"/>
  </externalReferences>
  <definedNames>
    <definedName name="John_Smith" localSheetId="4">Informe!$D$14+OfficeForms.Table[[ID ]]</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10" l="1"/>
  <c r="K18" i="10" l="1"/>
  <c r="K16" i="10"/>
  <c r="K15" i="10"/>
  <c r="K14" i="10"/>
  <c r="D18" i="10"/>
  <c r="D17" i="10"/>
  <c r="D16" i="10"/>
  <c r="D15" i="10"/>
  <c r="I7" i="4" l="1"/>
  <c r="D14" i="4" s="1"/>
  <c r="D9" i="4"/>
  <c r="D10" i="4"/>
  <c r="D11" i="4"/>
  <c r="L11" i="4"/>
  <c r="AV82" i="1" a="1"/>
  <c r="AV82" i="1" s="1"/>
  <c r="AV35" i="1" a="1"/>
  <c r="AV35" i="1" s="1"/>
  <c r="AV93" i="1" a="1"/>
  <c r="AV93" i="1" s="1"/>
  <c r="AV70" i="1" a="1"/>
  <c r="AV70" i="1" s="1"/>
  <c r="AV5" i="1" a="1"/>
  <c r="AV5" i="1" s="1"/>
  <c r="AV42" i="1" a="1"/>
  <c r="AV42" i="1" s="1"/>
  <c r="AV87" i="1" a="1"/>
  <c r="AV87" i="1" s="1"/>
  <c r="AV58" i="1" a="1"/>
  <c r="AV58" i="1" s="1"/>
  <c r="AV79" i="1" a="1"/>
  <c r="AV79" i="1" s="1"/>
  <c r="AV13" i="1" a="1"/>
  <c r="AV13" i="1" s="1"/>
  <c r="AV105" i="1" a="1"/>
  <c r="AV105" i="1" s="1"/>
  <c r="AV74" i="1" a="1"/>
  <c r="AV74" i="1" s="1"/>
  <c r="AV57" i="1" a="1"/>
  <c r="AV57" i="1" s="1"/>
  <c r="AV12" i="1" a="1"/>
  <c r="AV12" i="1" s="1"/>
  <c r="AV21" i="1" a="1"/>
  <c r="AV21" i="1" s="1"/>
  <c r="AV85" i="1" a="1"/>
  <c r="AV85" i="1" s="1"/>
  <c r="AV55" i="1" a="1"/>
  <c r="AV55" i="1" s="1"/>
  <c r="AV34" i="1" a="1"/>
  <c r="AV34" i="1" s="1"/>
  <c r="AV8" i="1" a="1"/>
  <c r="AV8" i="1" s="1"/>
  <c r="AV49" i="1" a="1"/>
  <c r="AV49" i="1" s="1"/>
  <c r="AV14" i="1" a="1"/>
  <c r="AV14" i="1" s="1"/>
  <c r="AV83" i="1" a="1"/>
  <c r="AV83" i="1" s="1"/>
  <c r="AV15" i="1" a="1"/>
  <c r="AV15" i="1" s="1"/>
  <c r="AV81" i="1" a="1"/>
  <c r="AV81" i="1" s="1"/>
  <c r="AV40" i="1" a="1"/>
  <c r="AV40" i="1" s="1"/>
  <c r="AV31" i="1" a="1"/>
  <c r="AV31" i="1" s="1"/>
  <c r="AV16" i="1" a="1"/>
  <c r="AV16" i="1" s="1"/>
  <c r="AV44" i="1" a="1"/>
  <c r="AV44" i="1" s="1"/>
  <c r="AV95" i="1" a="1"/>
  <c r="AV95" i="1" s="1"/>
  <c r="AV78" i="1" a="1"/>
  <c r="AV78" i="1" s="1"/>
  <c r="AV103" i="1" a="1"/>
  <c r="AV103" i="1" s="1"/>
  <c r="AV73" i="1" a="1"/>
  <c r="AV73" i="1" s="1"/>
  <c r="AV76" i="1" a="1"/>
  <c r="AV76" i="1" s="1"/>
  <c r="AV56" i="1" a="1"/>
  <c r="AV56" i="1" s="1"/>
  <c r="AV48" i="1" a="1"/>
  <c r="AV48" i="1" s="1"/>
  <c r="AV98" i="1" a="1"/>
  <c r="AV98" i="1" s="1"/>
  <c r="AV60" i="1" a="1"/>
  <c r="AV60" i="1" s="1"/>
  <c r="AV19" i="1" a="1"/>
  <c r="AV19" i="1" s="1"/>
  <c r="AV62" i="1" a="1"/>
  <c r="AV62" i="1" s="1"/>
  <c r="AV91" i="1" a="1"/>
  <c r="AV91" i="1" s="1"/>
  <c r="AV24" i="1" a="1"/>
  <c r="AV24" i="1" s="1"/>
  <c r="AV89" i="1" a="1"/>
  <c r="AV89" i="1" s="1"/>
  <c r="AV51" i="1" a="1"/>
  <c r="AV51" i="1" s="1"/>
  <c r="AV65" i="1" a="1"/>
  <c r="AV65" i="1" s="1"/>
  <c r="AV36" i="1" a="1"/>
  <c r="AV36" i="1" s="1"/>
  <c r="AV61" i="1" a="1"/>
  <c r="AV61" i="1" s="1"/>
  <c r="AV77" i="1" a="1"/>
  <c r="AV77" i="1" s="1"/>
  <c r="AV53" i="1" a="1"/>
  <c r="AV53" i="1" s="1"/>
  <c r="AV41" i="1" a="1"/>
  <c r="AV41" i="1" s="1"/>
  <c r="AV100" i="1" a="1"/>
  <c r="AV100" i="1" s="1"/>
  <c r="AV96" i="1" a="1"/>
  <c r="AV96" i="1" s="1"/>
  <c r="AV106" i="1" a="1"/>
  <c r="AV106" i="1" s="1"/>
  <c r="AV4" i="1" a="1"/>
  <c r="AV4" i="1" s="1"/>
  <c r="AV22" i="1" a="1"/>
  <c r="AV22" i="1" s="1"/>
  <c r="AV67" i="1" a="1"/>
  <c r="AV67" i="1" s="1"/>
  <c r="AV97" i="1" a="1"/>
  <c r="AV97" i="1" s="1"/>
  <c r="AV90" i="1" a="1"/>
  <c r="AV90" i="1" s="1"/>
  <c r="AV33" i="1" a="1"/>
  <c r="AV33" i="1" s="1"/>
  <c r="AV50" i="1" a="1"/>
  <c r="AV50" i="1" s="1"/>
  <c r="AV80" i="1" a="1"/>
  <c r="AV80" i="1" s="1"/>
  <c r="AV28" i="1" a="1"/>
  <c r="AV28" i="1" s="1"/>
  <c r="AV6" i="1" a="1"/>
  <c r="AV6" i="1" s="1"/>
  <c r="AV45" i="1" a="1"/>
  <c r="AV45" i="1" s="1"/>
  <c r="AV46" i="1" a="1"/>
  <c r="AV46" i="1" s="1"/>
  <c r="AV64" i="1" a="1"/>
  <c r="AV64" i="1" s="1"/>
  <c r="AV47" i="1" a="1"/>
  <c r="AV47" i="1" s="1"/>
  <c r="AV84" i="1" a="1"/>
  <c r="AV84" i="1" s="1"/>
  <c r="AV18" i="1" a="1"/>
  <c r="AV18" i="1" s="1"/>
  <c r="AV71" i="1" a="1"/>
  <c r="AV71" i="1" s="1"/>
  <c r="AV30" i="1" a="1"/>
  <c r="AV30" i="1" s="1"/>
  <c r="AV26" i="1" a="1"/>
  <c r="AV26" i="1" s="1"/>
  <c r="AV104" i="1" a="1"/>
  <c r="AV104" i="1" s="1"/>
  <c r="AV39" i="1" a="1"/>
  <c r="AV39" i="1" s="1"/>
  <c r="AV9" i="1" a="1"/>
  <c r="AV9" i="1" s="1"/>
  <c r="AV92" i="1" a="1"/>
  <c r="AV92" i="1" s="1"/>
  <c r="AV20" i="1" a="1"/>
  <c r="AV20" i="1" s="1"/>
  <c r="AV63" i="1" a="1"/>
  <c r="AV63" i="1" s="1"/>
  <c r="AV37" i="1" a="1"/>
  <c r="AV37" i="1" s="1"/>
  <c r="AV99" i="1" a="1"/>
  <c r="AV99" i="1" s="1"/>
  <c r="AV59" i="1" a="1"/>
  <c r="AV59" i="1" s="1"/>
  <c r="AV25" i="1" a="1"/>
  <c r="AV25" i="1" s="1"/>
  <c r="AV69" i="1" a="1"/>
  <c r="AV69" i="1" s="1"/>
  <c r="AV101" i="1" a="1"/>
  <c r="AV101" i="1" s="1"/>
  <c r="AV17" i="1" a="1"/>
  <c r="AV17" i="1" s="1"/>
  <c r="AV27" i="1" a="1"/>
  <c r="AV27" i="1" s="1"/>
  <c r="AV38" i="1" a="1"/>
  <c r="AV38" i="1" s="1"/>
  <c r="AV75" i="1" a="1"/>
  <c r="AV75" i="1" s="1"/>
  <c r="AV7" i="1" a="1"/>
  <c r="AV7" i="1" s="1"/>
  <c r="AV94" i="1" a="1"/>
  <c r="AV94" i="1" s="1"/>
  <c r="AV52" i="1" a="1"/>
  <c r="AV52" i="1" s="1"/>
  <c r="AV72" i="1" a="1"/>
  <c r="AV72" i="1" s="1"/>
  <c r="AV11" i="1" a="1"/>
  <c r="AV11" i="1" s="1"/>
  <c r="AV43" i="1" a="1"/>
  <c r="AV43" i="1" s="1"/>
  <c r="AV10" i="1" a="1"/>
  <c r="AV10" i="1" s="1"/>
  <c r="AV88" i="1" a="1"/>
  <c r="AV88" i="1" s="1"/>
  <c r="AV54" i="1" a="1"/>
  <c r="AV54" i="1" s="1"/>
  <c r="AV23" i="1" a="1"/>
  <c r="AV23" i="1" s="1"/>
  <c r="AV86" i="1" a="1"/>
  <c r="AV86" i="1" s="1"/>
  <c r="AV66" i="1" a="1"/>
  <c r="AV66" i="1" s="1"/>
  <c r="AV68" i="1" a="1"/>
  <c r="AV68" i="1" s="1"/>
  <c r="AV29" i="1" a="1"/>
  <c r="AV29" i="1" s="1"/>
  <c r="AV3" i="1" a="1"/>
  <c r="AV3" i="1" s="1"/>
  <c r="AV102" i="1" a="1"/>
  <c r="AV102" i="1" s="1"/>
  <c r="AV32" i="1" a="1"/>
  <c r="AV32" i="1" s="1"/>
  <c r="AP82" i="1" a="1"/>
  <c r="AP82" i="1" s="1"/>
  <c r="AP35" i="1" a="1"/>
  <c r="AP35" i="1" s="1"/>
  <c r="AP93" i="1" a="1"/>
  <c r="AP93" i="1" s="1"/>
  <c r="AP70" i="1" a="1"/>
  <c r="AP70" i="1" s="1"/>
  <c r="AP5" i="1" a="1"/>
  <c r="AP5" i="1" s="1"/>
  <c r="AP42" i="1" a="1"/>
  <c r="AP42" i="1" s="1"/>
  <c r="AP87" i="1" a="1"/>
  <c r="AP87" i="1" s="1"/>
  <c r="AP58" i="1" a="1"/>
  <c r="AP58" i="1" s="1"/>
  <c r="AP79" i="1" a="1"/>
  <c r="AP79" i="1" s="1"/>
  <c r="AP13" i="1" a="1"/>
  <c r="AP13" i="1" s="1"/>
  <c r="AP105" i="1" a="1"/>
  <c r="AP105" i="1" s="1"/>
  <c r="AP74" i="1" a="1"/>
  <c r="AP74" i="1" s="1"/>
  <c r="AP57" i="1" a="1"/>
  <c r="AP57" i="1" s="1"/>
  <c r="AP12" i="1" a="1"/>
  <c r="AP12" i="1" s="1"/>
  <c r="AP21" i="1" a="1"/>
  <c r="AP21" i="1" s="1"/>
  <c r="AP85" i="1" a="1"/>
  <c r="AP85" i="1" s="1"/>
  <c r="AP55" i="1" a="1"/>
  <c r="AP55" i="1" s="1"/>
  <c r="AP34" i="1" a="1"/>
  <c r="AP34" i="1" s="1"/>
  <c r="AP8" i="1" a="1"/>
  <c r="AP8" i="1" s="1"/>
  <c r="AP49" i="1" a="1"/>
  <c r="AP49" i="1" s="1"/>
  <c r="AP14" i="1" a="1"/>
  <c r="AP14" i="1" s="1"/>
  <c r="AP83" i="1" a="1"/>
  <c r="AP83" i="1" s="1"/>
  <c r="AP15" i="1" a="1"/>
  <c r="AP15" i="1" s="1"/>
  <c r="AP81" i="1" a="1"/>
  <c r="AP81" i="1" s="1"/>
  <c r="AP40" i="1" a="1"/>
  <c r="AP40" i="1" s="1"/>
  <c r="AP31" i="1" a="1"/>
  <c r="AP31" i="1" s="1"/>
  <c r="AP16" i="1" a="1"/>
  <c r="AP16" i="1" s="1"/>
  <c r="AP44" i="1" a="1"/>
  <c r="AP44" i="1" s="1"/>
  <c r="AP95" i="1" a="1"/>
  <c r="AP95" i="1" s="1"/>
  <c r="AP78" i="1" a="1"/>
  <c r="AP78" i="1" s="1"/>
  <c r="AP103" i="1" a="1"/>
  <c r="AP103" i="1" s="1"/>
  <c r="AP73" i="1" a="1"/>
  <c r="AP73" i="1" s="1"/>
  <c r="AP76" i="1" a="1"/>
  <c r="AP76" i="1" s="1"/>
  <c r="AP56" i="1" a="1"/>
  <c r="AP56" i="1" s="1"/>
  <c r="AP48" i="1" a="1"/>
  <c r="AP48" i="1" s="1"/>
  <c r="AP98" i="1" a="1"/>
  <c r="AP98" i="1" s="1"/>
  <c r="AP60" i="1" a="1"/>
  <c r="AP60" i="1" s="1"/>
  <c r="AP19" i="1" a="1"/>
  <c r="AP19" i="1" s="1"/>
  <c r="AP62" i="1" a="1"/>
  <c r="AP62" i="1" s="1"/>
  <c r="AP91" i="1" a="1"/>
  <c r="AP91" i="1" s="1"/>
  <c r="AP24" i="1" a="1"/>
  <c r="AP24" i="1" s="1"/>
  <c r="AP89" i="1" a="1"/>
  <c r="AP89" i="1" s="1"/>
  <c r="AP51" i="1" a="1"/>
  <c r="AP51" i="1" s="1"/>
  <c r="AP65" i="1" a="1"/>
  <c r="AP65" i="1" s="1"/>
  <c r="AP36" i="1" a="1"/>
  <c r="AP36" i="1" s="1"/>
  <c r="AP61" i="1" a="1"/>
  <c r="AP61" i="1" s="1"/>
  <c r="AP77" i="1" a="1"/>
  <c r="AP77" i="1" s="1"/>
  <c r="AP53" i="1" a="1"/>
  <c r="AP53" i="1" s="1"/>
  <c r="AP41" i="1" a="1"/>
  <c r="AP41" i="1" s="1"/>
  <c r="AP100" i="1" a="1"/>
  <c r="AP100" i="1" s="1"/>
  <c r="AP96" i="1" a="1"/>
  <c r="AP96" i="1" s="1"/>
  <c r="AP106" i="1" a="1"/>
  <c r="AP106" i="1" s="1"/>
  <c r="AP4" i="1" a="1"/>
  <c r="AP4" i="1" s="1"/>
  <c r="AP22" i="1" a="1"/>
  <c r="AP22" i="1" s="1"/>
  <c r="AP67" i="1" a="1"/>
  <c r="AP67" i="1" s="1"/>
  <c r="AP97" i="1" a="1"/>
  <c r="AP97" i="1" s="1"/>
  <c r="AP90" i="1" a="1"/>
  <c r="AP90" i="1" s="1"/>
  <c r="AP33" i="1" a="1"/>
  <c r="AP33" i="1" s="1"/>
  <c r="AP50" i="1" a="1"/>
  <c r="AP50" i="1" s="1"/>
  <c r="AP80" i="1" a="1"/>
  <c r="AP80" i="1" s="1"/>
  <c r="AP28" i="1" a="1"/>
  <c r="AP28" i="1" s="1"/>
  <c r="AP6" i="1" a="1"/>
  <c r="AP6" i="1" s="1"/>
  <c r="AP45" i="1" a="1"/>
  <c r="AP45" i="1" s="1"/>
  <c r="AP46" i="1" a="1"/>
  <c r="AP46" i="1" s="1"/>
  <c r="AP64" i="1" a="1"/>
  <c r="AP64" i="1" s="1"/>
  <c r="AP47" i="1" a="1"/>
  <c r="AP47" i="1" s="1"/>
  <c r="AP84" i="1" a="1"/>
  <c r="AP84" i="1" s="1"/>
  <c r="AP18" i="1" a="1"/>
  <c r="AP18" i="1" s="1"/>
  <c r="AP71" i="1" a="1"/>
  <c r="AP71" i="1" s="1"/>
  <c r="AP30" i="1" a="1"/>
  <c r="AP30" i="1" s="1"/>
  <c r="AP26" i="1" a="1"/>
  <c r="AP26" i="1" s="1"/>
  <c r="AP104" i="1" a="1"/>
  <c r="AP104" i="1" s="1"/>
  <c r="AP39" i="1" a="1"/>
  <c r="AP39" i="1" s="1"/>
  <c r="AP9" i="1" a="1"/>
  <c r="AP9" i="1" s="1"/>
  <c r="AP92" i="1" a="1"/>
  <c r="AP92" i="1" s="1"/>
  <c r="AP20" i="1" a="1"/>
  <c r="AP20" i="1" s="1"/>
  <c r="AP63" i="1" a="1"/>
  <c r="AP63" i="1" s="1"/>
  <c r="AP37" i="1" a="1"/>
  <c r="AP37" i="1" s="1"/>
  <c r="AP99" i="1" a="1"/>
  <c r="AP99" i="1" s="1"/>
  <c r="AP59" i="1" a="1"/>
  <c r="AP59" i="1" s="1"/>
  <c r="AP25" i="1" a="1"/>
  <c r="AP25" i="1" s="1"/>
  <c r="AP69" i="1" a="1"/>
  <c r="AP69" i="1" s="1"/>
  <c r="AP101" i="1" a="1"/>
  <c r="AP101" i="1" s="1"/>
  <c r="AP17" i="1" a="1"/>
  <c r="AP17" i="1" s="1"/>
  <c r="AP27" i="1" a="1"/>
  <c r="AP27" i="1" s="1"/>
  <c r="AP38" i="1" a="1"/>
  <c r="AP38" i="1" s="1"/>
  <c r="AP75" i="1" a="1"/>
  <c r="AP75" i="1" s="1"/>
  <c r="AP7" i="1" a="1"/>
  <c r="AP7" i="1" s="1"/>
  <c r="AP94" i="1" a="1"/>
  <c r="AP94" i="1" s="1"/>
  <c r="AP52" i="1" a="1"/>
  <c r="AP52" i="1" s="1"/>
  <c r="AP72" i="1" a="1"/>
  <c r="AP72" i="1" s="1"/>
  <c r="AP11" i="1" a="1"/>
  <c r="AP11" i="1" s="1"/>
  <c r="AP43" i="1" a="1"/>
  <c r="AP43" i="1" s="1"/>
  <c r="AP10" i="1" a="1"/>
  <c r="AP10" i="1" s="1"/>
  <c r="AP88" i="1" a="1"/>
  <c r="AP88" i="1" s="1"/>
  <c r="AP54" i="1" a="1"/>
  <c r="AP54" i="1" s="1"/>
  <c r="AP23" i="1" a="1"/>
  <c r="AP23" i="1" s="1"/>
  <c r="AP86" i="1" a="1"/>
  <c r="AP86" i="1" s="1"/>
  <c r="AP66" i="1" a="1"/>
  <c r="AP66" i="1" s="1"/>
  <c r="AP68" i="1" a="1"/>
  <c r="AP68" i="1" s="1"/>
  <c r="AP29" i="1" a="1"/>
  <c r="AP29" i="1" s="1"/>
  <c r="AP3" i="1" a="1"/>
  <c r="AP3" i="1" s="1"/>
  <c r="AP102" i="1" a="1"/>
  <c r="AP102" i="1" s="1"/>
  <c r="AP32" i="1" a="1"/>
  <c r="AP32" i="1" s="1"/>
  <c r="AJ82" i="1" a="1"/>
  <c r="AJ82" i="1" s="1"/>
  <c r="AJ35" i="1" a="1"/>
  <c r="AJ35" i="1" s="1"/>
  <c r="AJ93" i="1" a="1"/>
  <c r="AJ93" i="1" s="1"/>
  <c r="AJ70" i="1" a="1"/>
  <c r="AJ70" i="1" s="1"/>
  <c r="AJ5" i="1" a="1"/>
  <c r="AJ5" i="1" s="1"/>
  <c r="AJ42" i="1" a="1"/>
  <c r="AJ42" i="1" s="1"/>
  <c r="AJ87" i="1" a="1"/>
  <c r="AJ87" i="1" s="1"/>
  <c r="AJ58" i="1" a="1"/>
  <c r="AJ58" i="1" s="1"/>
  <c r="AJ79" i="1" a="1"/>
  <c r="AJ79" i="1" s="1"/>
  <c r="AJ13" i="1" a="1"/>
  <c r="AJ13" i="1" s="1"/>
  <c r="AJ105" i="1" a="1"/>
  <c r="AJ105" i="1" s="1"/>
  <c r="AJ74" i="1" a="1"/>
  <c r="AJ74" i="1" s="1"/>
  <c r="AJ57" i="1" a="1"/>
  <c r="AJ57" i="1" s="1"/>
  <c r="AJ12" i="1" a="1"/>
  <c r="AJ12" i="1" s="1"/>
  <c r="AJ21" i="1" a="1"/>
  <c r="AJ21" i="1" s="1"/>
  <c r="AJ85" i="1" a="1"/>
  <c r="AJ85" i="1" s="1"/>
  <c r="AJ55" i="1" a="1"/>
  <c r="AJ55" i="1" s="1"/>
  <c r="AJ34" i="1" a="1"/>
  <c r="AJ34" i="1" s="1"/>
  <c r="AJ8" i="1" a="1"/>
  <c r="AJ8" i="1" s="1"/>
  <c r="AJ49" i="1" a="1"/>
  <c r="AJ49" i="1" s="1"/>
  <c r="AJ14" i="1" a="1"/>
  <c r="AJ14" i="1" s="1"/>
  <c r="AJ83" i="1" a="1"/>
  <c r="AJ83" i="1" s="1"/>
  <c r="AJ15" i="1" a="1"/>
  <c r="AJ15" i="1" s="1"/>
  <c r="AJ81" i="1" a="1"/>
  <c r="AJ81" i="1" s="1"/>
  <c r="AJ40" i="1" a="1"/>
  <c r="AJ40" i="1" s="1"/>
  <c r="AJ31" i="1" a="1"/>
  <c r="AJ31" i="1" s="1"/>
  <c r="AJ16" i="1" a="1"/>
  <c r="AJ16" i="1" s="1"/>
  <c r="AJ44" i="1" a="1"/>
  <c r="AJ44" i="1" s="1"/>
  <c r="AJ95" i="1" a="1"/>
  <c r="AJ95" i="1" s="1"/>
  <c r="AJ78" i="1" a="1"/>
  <c r="AJ78" i="1" s="1"/>
  <c r="AJ103" i="1" a="1"/>
  <c r="AJ103" i="1" s="1"/>
  <c r="AJ73" i="1" a="1"/>
  <c r="AJ73" i="1" s="1"/>
  <c r="AJ76" i="1" a="1"/>
  <c r="AJ76" i="1" s="1"/>
  <c r="AJ56" i="1" a="1"/>
  <c r="AJ56" i="1" s="1"/>
  <c r="AJ48" i="1" a="1"/>
  <c r="AJ48" i="1" s="1"/>
  <c r="AJ98" i="1" a="1"/>
  <c r="AJ98" i="1" s="1"/>
  <c r="AJ60" i="1" a="1"/>
  <c r="AJ60" i="1" s="1"/>
  <c r="AJ19" i="1" a="1"/>
  <c r="AJ19" i="1" s="1"/>
  <c r="AJ62" i="1" a="1"/>
  <c r="AJ62" i="1" s="1"/>
  <c r="AJ91" i="1" a="1"/>
  <c r="AJ91" i="1" s="1"/>
  <c r="AJ24" i="1" a="1"/>
  <c r="AJ24" i="1" s="1"/>
  <c r="AJ89" i="1" a="1"/>
  <c r="AJ89" i="1" s="1"/>
  <c r="AJ51" i="1" a="1"/>
  <c r="AJ51" i="1" s="1"/>
  <c r="AJ65" i="1" a="1"/>
  <c r="AJ65" i="1" s="1"/>
  <c r="AJ36" i="1" a="1"/>
  <c r="AJ36" i="1" s="1"/>
  <c r="AJ61" i="1" a="1"/>
  <c r="AJ61" i="1" s="1"/>
  <c r="AJ77" i="1" a="1"/>
  <c r="AJ77" i="1" s="1"/>
  <c r="AJ53" i="1" a="1"/>
  <c r="AJ53" i="1" s="1"/>
  <c r="AJ41" i="1" a="1"/>
  <c r="AJ41" i="1" s="1"/>
  <c r="AJ100" i="1" a="1"/>
  <c r="AJ100" i="1" s="1"/>
  <c r="AJ96" i="1" a="1"/>
  <c r="AJ96" i="1" s="1"/>
  <c r="AJ106" i="1" a="1"/>
  <c r="AJ106" i="1" s="1"/>
  <c r="AJ4" i="1" a="1"/>
  <c r="AJ4" i="1" s="1"/>
  <c r="AJ22" i="1" a="1"/>
  <c r="AJ22" i="1" s="1"/>
  <c r="AJ67" i="1" a="1"/>
  <c r="AJ67" i="1" s="1"/>
  <c r="AJ97" i="1" a="1"/>
  <c r="AJ97" i="1" s="1"/>
  <c r="AJ90" i="1" a="1"/>
  <c r="AJ90" i="1" s="1"/>
  <c r="AJ33" i="1" a="1"/>
  <c r="AJ33" i="1" s="1"/>
  <c r="AJ50" i="1" a="1"/>
  <c r="AJ50" i="1" s="1"/>
  <c r="AJ80" i="1" a="1"/>
  <c r="AJ80" i="1" s="1"/>
  <c r="AJ28" i="1" a="1"/>
  <c r="AJ28" i="1" s="1"/>
  <c r="AJ6" i="1" a="1"/>
  <c r="AJ6" i="1" s="1"/>
  <c r="AJ45" i="1" a="1"/>
  <c r="AJ45" i="1" s="1"/>
  <c r="AJ46" i="1" a="1"/>
  <c r="AJ46" i="1" s="1"/>
  <c r="AJ64" i="1" a="1"/>
  <c r="AJ64" i="1" s="1"/>
  <c r="AJ47" i="1" a="1"/>
  <c r="AJ47" i="1" s="1"/>
  <c r="AJ84" i="1" a="1"/>
  <c r="AJ84" i="1" s="1"/>
  <c r="AJ18" i="1" a="1"/>
  <c r="AJ18" i="1" s="1"/>
  <c r="AJ71" i="1" a="1"/>
  <c r="AJ71" i="1" s="1"/>
  <c r="AJ30" i="1" a="1"/>
  <c r="AJ30" i="1" s="1"/>
  <c r="AJ26" i="1" a="1"/>
  <c r="AJ26" i="1" s="1"/>
  <c r="AJ104" i="1" a="1"/>
  <c r="AJ104" i="1" s="1"/>
  <c r="AJ39" i="1" a="1"/>
  <c r="AJ39" i="1" s="1"/>
  <c r="AJ9" i="1" a="1"/>
  <c r="AJ9" i="1" s="1"/>
  <c r="AJ92" i="1" a="1"/>
  <c r="AJ92" i="1" s="1"/>
  <c r="AJ20" i="1" a="1"/>
  <c r="AJ20" i="1" s="1"/>
  <c r="AJ63" i="1" a="1"/>
  <c r="AJ63" i="1" s="1"/>
  <c r="AJ37" i="1" a="1"/>
  <c r="AJ37" i="1" s="1"/>
  <c r="AJ99" i="1" a="1"/>
  <c r="AJ99" i="1" s="1"/>
  <c r="AJ59" i="1" a="1"/>
  <c r="AJ59" i="1" s="1"/>
  <c r="AJ25" i="1" a="1"/>
  <c r="AJ25" i="1" s="1"/>
  <c r="AJ69" i="1" a="1"/>
  <c r="AJ69" i="1" s="1"/>
  <c r="AJ101" i="1" a="1"/>
  <c r="AJ101" i="1" s="1"/>
  <c r="AJ17" i="1" a="1"/>
  <c r="AJ17" i="1" s="1"/>
  <c r="AJ27" i="1" a="1"/>
  <c r="AJ27" i="1" s="1"/>
  <c r="AJ38" i="1" a="1"/>
  <c r="AJ38" i="1" s="1"/>
  <c r="AJ75" i="1" a="1"/>
  <c r="AJ75" i="1" s="1"/>
  <c r="AJ7" i="1" a="1"/>
  <c r="AJ7" i="1" s="1"/>
  <c r="AJ94" i="1" a="1"/>
  <c r="AJ94" i="1" s="1"/>
  <c r="AJ52" i="1" a="1"/>
  <c r="AJ52" i="1" s="1"/>
  <c r="AJ72" i="1" a="1"/>
  <c r="AJ72" i="1" s="1"/>
  <c r="AJ11" i="1" a="1"/>
  <c r="AJ11" i="1" s="1"/>
  <c r="AJ43" i="1" a="1"/>
  <c r="AJ43" i="1" s="1"/>
  <c r="AJ10" i="1" a="1"/>
  <c r="AJ10" i="1" s="1"/>
  <c r="AJ88" i="1" a="1"/>
  <c r="AJ88" i="1" s="1"/>
  <c r="AJ54" i="1" a="1"/>
  <c r="AJ54" i="1" s="1"/>
  <c r="AJ23" i="1" a="1"/>
  <c r="AJ23" i="1" s="1"/>
  <c r="AJ86" i="1" a="1"/>
  <c r="AJ86" i="1" s="1"/>
  <c r="AJ66" i="1" a="1"/>
  <c r="AJ66" i="1" s="1"/>
  <c r="AJ68" i="1" a="1"/>
  <c r="AJ68" i="1" s="1"/>
  <c r="AJ29" i="1" a="1"/>
  <c r="AJ29" i="1" s="1"/>
  <c r="AJ3" i="1" a="1"/>
  <c r="AJ3" i="1" s="1"/>
  <c r="AJ102" i="1" a="1"/>
  <c r="AJ102" i="1" s="1"/>
  <c r="AJ32" i="1" a="1"/>
  <c r="AJ32" i="1" s="1"/>
  <c r="W82" i="1" a="1"/>
  <c r="W82" i="1" s="1"/>
  <c r="W35" i="1" a="1"/>
  <c r="W35" i="1" s="1"/>
  <c r="W93" i="1" a="1"/>
  <c r="W93" i="1" s="1"/>
  <c r="W70" i="1" a="1"/>
  <c r="W70" i="1" s="1"/>
  <c r="W5" i="1" a="1"/>
  <c r="W5" i="1" s="1"/>
  <c r="W42" i="1" a="1"/>
  <c r="W42" i="1" s="1"/>
  <c r="W87" i="1" a="1"/>
  <c r="W87" i="1" s="1"/>
  <c r="W58" i="1" a="1"/>
  <c r="W58" i="1" s="1"/>
  <c r="W79" i="1" a="1"/>
  <c r="W79" i="1" s="1"/>
  <c r="W13" i="1" a="1"/>
  <c r="W13" i="1" s="1"/>
  <c r="W105" i="1" a="1"/>
  <c r="W105" i="1" s="1"/>
  <c r="W74" i="1" a="1"/>
  <c r="W74" i="1" s="1"/>
  <c r="W57" i="1" a="1"/>
  <c r="W57" i="1" s="1"/>
  <c r="W12" i="1" a="1"/>
  <c r="W12" i="1" s="1"/>
  <c r="W21" i="1" a="1"/>
  <c r="W21" i="1" s="1"/>
  <c r="W85" i="1" a="1"/>
  <c r="W85" i="1" s="1"/>
  <c r="W55" i="1" a="1"/>
  <c r="W55" i="1" s="1"/>
  <c r="W34" i="1" a="1"/>
  <c r="W34" i="1" s="1"/>
  <c r="W8" i="1" a="1"/>
  <c r="W8" i="1" s="1"/>
  <c r="W49" i="1" a="1"/>
  <c r="W49" i="1" s="1"/>
  <c r="W14" i="1" a="1"/>
  <c r="W14" i="1" s="1"/>
  <c r="W83" i="1" a="1"/>
  <c r="W83" i="1" s="1"/>
  <c r="W15" i="1" a="1"/>
  <c r="W15" i="1" s="1"/>
  <c r="W81" i="1" a="1"/>
  <c r="W81" i="1" s="1"/>
  <c r="W40" i="1" a="1"/>
  <c r="W40" i="1" s="1"/>
  <c r="W31" i="1" a="1"/>
  <c r="W31" i="1" s="1"/>
  <c r="W16" i="1" a="1"/>
  <c r="W16" i="1" s="1"/>
  <c r="W44" i="1" a="1"/>
  <c r="W44" i="1" s="1"/>
  <c r="W95" i="1" a="1"/>
  <c r="W95" i="1" s="1"/>
  <c r="W78" i="1" a="1"/>
  <c r="W78" i="1" s="1"/>
  <c r="W103" i="1" a="1"/>
  <c r="W103" i="1" s="1"/>
  <c r="W73" i="1" a="1"/>
  <c r="W73" i="1" s="1"/>
  <c r="W76" i="1" a="1"/>
  <c r="W76" i="1" s="1"/>
  <c r="W56" i="1" a="1"/>
  <c r="W56" i="1" s="1"/>
  <c r="W48" i="1" a="1"/>
  <c r="W48" i="1" s="1"/>
  <c r="W98" i="1" a="1"/>
  <c r="W98" i="1" s="1"/>
  <c r="W60" i="1" a="1"/>
  <c r="W60" i="1" s="1"/>
  <c r="W19" i="1" a="1"/>
  <c r="W19" i="1" s="1"/>
  <c r="W62" i="1" a="1"/>
  <c r="W62" i="1" s="1"/>
  <c r="W91" i="1" a="1"/>
  <c r="W91" i="1" s="1"/>
  <c r="W24" i="1" a="1"/>
  <c r="W24" i="1" s="1"/>
  <c r="W89" i="1" a="1"/>
  <c r="W89" i="1" s="1"/>
  <c r="W51" i="1" a="1"/>
  <c r="W51" i="1" s="1"/>
  <c r="W65" i="1" a="1"/>
  <c r="W65" i="1" s="1"/>
  <c r="W36" i="1" a="1"/>
  <c r="W36" i="1" s="1"/>
  <c r="W61" i="1" a="1"/>
  <c r="W61" i="1" s="1"/>
  <c r="W77" i="1" a="1"/>
  <c r="W77" i="1" s="1"/>
  <c r="W53" i="1" a="1"/>
  <c r="W53" i="1" s="1"/>
  <c r="W41" i="1" a="1"/>
  <c r="W41" i="1" s="1"/>
  <c r="W100" i="1" a="1"/>
  <c r="W100" i="1" s="1"/>
  <c r="W96" i="1" a="1"/>
  <c r="W96" i="1" s="1"/>
  <c r="W106" i="1" a="1"/>
  <c r="W106" i="1" s="1"/>
  <c r="W4" i="1" a="1"/>
  <c r="W4" i="1" s="1"/>
  <c r="W22" i="1" a="1"/>
  <c r="W22" i="1" s="1"/>
  <c r="W67" i="1" a="1"/>
  <c r="W67" i="1" s="1"/>
  <c r="W97" i="1" a="1"/>
  <c r="W97" i="1" s="1"/>
  <c r="W90" i="1" a="1"/>
  <c r="W90" i="1" s="1"/>
  <c r="W33" i="1" a="1"/>
  <c r="W33" i="1" s="1"/>
  <c r="W50" i="1" a="1"/>
  <c r="W50" i="1" s="1"/>
  <c r="W80" i="1" a="1"/>
  <c r="W80" i="1" s="1"/>
  <c r="W28" i="1" a="1"/>
  <c r="W28" i="1" s="1"/>
  <c r="W6" i="1" a="1"/>
  <c r="W6" i="1" s="1"/>
  <c r="W45" i="1" a="1"/>
  <c r="W45" i="1" s="1"/>
  <c r="W46" i="1" a="1"/>
  <c r="W46" i="1" s="1"/>
  <c r="W64" i="1" a="1"/>
  <c r="W64" i="1" s="1"/>
  <c r="W47" i="1" a="1"/>
  <c r="W47" i="1" s="1"/>
  <c r="W84" i="1" a="1"/>
  <c r="W84" i="1" s="1"/>
  <c r="W18" i="1" a="1"/>
  <c r="W18" i="1" s="1"/>
  <c r="W71" i="1" a="1"/>
  <c r="W71" i="1" s="1"/>
  <c r="W30" i="1" a="1"/>
  <c r="W30" i="1" s="1"/>
  <c r="W26" i="1" a="1"/>
  <c r="W26" i="1" s="1"/>
  <c r="W104" i="1" a="1"/>
  <c r="W104" i="1" s="1"/>
  <c r="W39" i="1" a="1"/>
  <c r="W39" i="1" s="1"/>
  <c r="W9" i="1" a="1"/>
  <c r="W9" i="1" s="1"/>
  <c r="W92" i="1" a="1"/>
  <c r="W92" i="1" s="1"/>
  <c r="W20" i="1" a="1"/>
  <c r="W20" i="1" s="1"/>
  <c r="W63" i="1" a="1"/>
  <c r="W63" i="1" s="1"/>
  <c r="W37" i="1" a="1"/>
  <c r="W37" i="1" s="1"/>
  <c r="W99" i="1" a="1"/>
  <c r="W99" i="1" s="1"/>
  <c r="W59" i="1" a="1"/>
  <c r="W59" i="1" s="1"/>
  <c r="W25" i="1" a="1"/>
  <c r="W25" i="1" s="1"/>
  <c r="W69" i="1" a="1"/>
  <c r="W69" i="1" s="1"/>
  <c r="W101" i="1" a="1"/>
  <c r="W101" i="1" s="1"/>
  <c r="W17" i="1" a="1"/>
  <c r="W17" i="1" s="1"/>
  <c r="W27" i="1" a="1"/>
  <c r="W27" i="1" s="1"/>
  <c r="W38" i="1" a="1"/>
  <c r="W38" i="1" s="1"/>
  <c r="W75" i="1" a="1"/>
  <c r="W75" i="1" s="1"/>
  <c r="W7" i="1" a="1"/>
  <c r="W7" i="1" s="1"/>
  <c r="W94" i="1" a="1"/>
  <c r="W94" i="1" s="1"/>
  <c r="W52" i="1" a="1"/>
  <c r="W52" i="1" s="1"/>
  <c r="W72" i="1" a="1"/>
  <c r="W72" i="1" s="1"/>
  <c r="W11" i="1" a="1"/>
  <c r="W11" i="1" s="1"/>
  <c r="W43" i="1" a="1"/>
  <c r="W43" i="1" s="1"/>
  <c r="W10" i="1" a="1"/>
  <c r="W10" i="1" s="1"/>
  <c r="W88" i="1" a="1"/>
  <c r="W88" i="1" s="1"/>
  <c r="W54" i="1" a="1"/>
  <c r="W54" i="1" s="1"/>
  <c r="W23" i="1" a="1"/>
  <c r="W23" i="1" s="1"/>
  <c r="W86" i="1" a="1"/>
  <c r="W86" i="1" s="1"/>
  <c r="W66" i="1" a="1"/>
  <c r="W66" i="1" s="1"/>
  <c r="W68" i="1" a="1"/>
  <c r="W68" i="1" s="1"/>
  <c r="W29" i="1" a="1"/>
  <c r="W29" i="1" s="1"/>
  <c r="W3" i="1" a="1"/>
  <c r="W3" i="1" s="1"/>
  <c r="W102" i="1" a="1"/>
  <c r="W102" i="1" s="1"/>
  <c r="W32" i="1" a="1"/>
  <c r="W32" i="1" s="1"/>
  <c r="AC82" i="1" a="1"/>
  <c r="AC82" i="1" s="1"/>
  <c r="AC35" i="1" a="1"/>
  <c r="AC35" i="1" s="1"/>
  <c r="AC93" i="1" a="1"/>
  <c r="AC93" i="1" s="1"/>
  <c r="AC70" i="1" a="1"/>
  <c r="AC70" i="1" s="1"/>
  <c r="AC5" i="1" a="1"/>
  <c r="AC5" i="1" s="1"/>
  <c r="AC42" i="1" a="1"/>
  <c r="AC42" i="1" s="1"/>
  <c r="AC87" i="1" a="1"/>
  <c r="AC87" i="1" s="1"/>
  <c r="AC58" i="1" a="1"/>
  <c r="AC58" i="1" s="1"/>
  <c r="AC79" i="1" a="1"/>
  <c r="AC79" i="1" s="1"/>
  <c r="AC13" i="1" a="1"/>
  <c r="AC13" i="1" s="1"/>
  <c r="AC105" i="1" a="1"/>
  <c r="AC105" i="1" s="1"/>
  <c r="AC74" i="1" a="1"/>
  <c r="AC74" i="1" s="1"/>
  <c r="AC57" i="1" a="1"/>
  <c r="AC57" i="1" s="1"/>
  <c r="AC12" i="1" a="1"/>
  <c r="AC12" i="1" s="1"/>
  <c r="AC21" i="1" a="1"/>
  <c r="AC21" i="1" s="1"/>
  <c r="AC85" i="1" a="1"/>
  <c r="AC85" i="1" s="1"/>
  <c r="AC55" i="1" a="1"/>
  <c r="AC55" i="1" s="1"/>
  <c r="AC34" i="1" a="1"/>
  <c r="AC34" i="1" s="1"/>
  <c r="AC8" i="1" a="1"/>
  <c r="AC8" i="1" s="1"/>
  <c r="AC49" i="1" a="1"/>
  <c r="AC49" i="1" s="1"/>
  <c r="AC14" i="1" a="1"/>
  <c r="AC14" i="1" s="1"/>
  <c r="AC83" i="1" a="1"/>
  <c r="AC83" i="1" s="1"/>
  <c r="AC15" i="1" a="1"/>
  <c r="AC15" i="1" s="1"/>
  <c r="AC81" i="1" a="1"/>
  <c r="AC81" i="1" s="1"/>
  <c r="AC40" i="1" a="1"/>
  <c r="AC40" i="1" s="1"/>
  <c r="AC31" i="1" a="1"/>
  <c r="AC31" i="1" s="1"/>
  <c r="AC16" i="1" a="1"/>
  <c r="AC16" i="1" s="1"/>
  <c r="AC44" i="1" a="1"/>
  <c r="AC44" i="1" s="1"/>
  <c r="AC95" i="1" a="1"/>
  <c r="AC95" i="1" s="1"/>
  <c r="AC78" i="1" a="1"/>
  <c r="AC78" i="1" s="1"/>
  <c r="AC103" i="1" a="1"/>
  <c r="AC103" i="1" s="1"/>
  <c r="AC73" i="1" a="1"/>
  <c r="AC73" i="1" s="1"/>
  <c r="AC76" i="1" a="1"/>
  <c r="AC76" i="1" s="1"/>
  <c r="AC56" i="1" a="1"/>
  <c r="AC56" i="1" s="1"/>
  <c r="AC48" i="1" a="1"/>
  <c r="AC48" i="1" s="1"/>
  <c r="AC98" i="1" a="1"/>
  <c r="AC98" i="1" s="1"/>
  <c r="AC60" i="1" a="1"/>
  <c r="AC60" i="1" s="1"/>
  <c r="AC19" i="1" a="1"/>
  <c r="AC19" i="1" s="1"/>
  <c r="AC62" i="1" a="1"/>
  <c r="AC62" i="1" s="1"/>
  <c r="AC91" i="1" a="1"/>
  <c r="AC91" i="1" s="1"/>
  <c r="AC24" i="1" a="1"/>
  <c r="AC24" i="1" s="1"/>
  <c r="AC89" i="1" a="1"/>
  <c r="AC89" i="1" s="1"/>
  <c r="AC51" i="1" a="1"/>
  <c r="AC51" i="1" s="1"/>
  <c r="AC65" i="1" a="1"/>
  <c r="AC65" i="1" s="1"/>
  <c r="AC36" i="1" a="1"/>
  <c r="AC36" i="1" s="1"/>
  <c r="AC61" i="1" a="1"/>
  <c r="AC61" i="1" s="1"/>
  <c r="AC77" i="1" a="1"/>
  <c r="AC77" i="1" s="1"/>
  <c r="AC53" i="1" a="1"/>
  <c r="AC53" i="1" s="1"/>
  <c r="AC41" i="1" a="1"/>
  <c r="AC41" i="1" s="1"/>
  <c r="AC100" i="1" a="1"/>
  <c r="AC100" i="1" s="1"/>
  <c r="AC96" i="1" a="1"/>
  <c r="AC96" i="1" s="1"/>
  <c r="AC106" i="1" a="1"/>
  <c r="AC106" i="1" s="1"/>
  <c r="AC4" i="1" a="1"/>
  <c r="AC4" i="1" s="1"/>
  <c r="AC22" i="1" a="1"/>
  <c r="AC22" i="1" s="1"/>
  <c r="AC67" i="1" a="1"/>
  <c r="AC67" i="1" s="1"/>
  <c r="AC97" i="1" a="1"/>
  <c r="AC97" i="1" s="1"/>
  <c r="AC90" i="1" a="1"/>
  <c r="AC90" i="1" s="1"/>
  <c r="AC33" i="1" a="1"/>
  <c r="AC33" i="1" s="1"/>
  <c r="AC50" i="1" a="1"/>
  <c r="AC50" i="1" s="1"/>
  <c r="AC80" i="1" a="1"/>
  <c r="AC80" i="1" s="1"/>
  <c r="AC28" i="1" a="1"/>
  <c r="AC28" i="1" s="1"/>
  <c r="AC6" i="1" a="1"/>
  <c r="AC6" i="1" s="1"/>
  <c r="AC45" i="1" a="1"/>
  <c r="AC45" i="1" s="1"/>
  <c r="AC46" i="1" a="1"/>
  <c r="AC46" i="1" s="1"/>
  <c r="AC64" i="1" a="1"/>
  <c r="AC64" i="1" s="1"/>
  <c r="AC47" i="1" a="1"/>
  <c r="AC47" i="1" s="1"/>
  <c r="AC84" i="1" a="1"/>
  <c r="AC84" i="1" s="1"/>
  <c r="AC18" i="1" a="1"/>
  <c r="AC18" i="1" s="1"/>
  <c r="AC71" i="1" a="1"/>
  <c r="AC71" i="1" s="1"/>
  <c r="AC30" i="1" a="1"/>
  <c r="AC30" i="1" s="1"/>
  <c r="AC26" i="1" a="1"/>
  <c r="AC26" i="1" s="1"/>
  <c r="AC104" i="1" a="1"/>
  <c r="AC104" i="1" s="1"/>
  <c r="AC39" i="1" a="1"/>
  <c r="AC39" i="1" s="1"/>
  <c r="AC9" i="1" a="1"/>
  <c r="AC9" i="1" s="1"/>
  <c r="AC92" i="1" a="1"/>
  <c r="AC92" i="1" s="1"/>
  <c r="AC20" i="1" a="1"/>
  <c r="AC20" i="1" s="1"/>
  <c r="AC63" i="1" a="1"/>
  <c r="AC63" i="1" s="1"/>
  <c r="AC37" i="1" a="1"/>
  <c r="AC37" i="1" s="1"/>
  <c r="AC99" i="1" a="1"/>
  <c r="AC99" i="1" s="1"/>
  <c r="AC59" i="1" a="1"/>
  <c r="AC59" i="1" s="1"/>
  <c r="AC25" i="1" a="1"/>
  <c r="AC25" i="1" s="1"/>
  <c r="AC69" i="1" a="1"/>
  <c r="AC69" i="1" s="1"/>
  <c r="AC101" i="1" a="1"/>
  <c r="AC101" i="1" s="1"/>
  <c r="AC17" i="1" a="1"/>
  <c r="AC17" i="1" s="1"/>
  <c r="AC27" i="1" a="1"/>
  <c r="AC27" i="1" s="1"/>
  <c r="AC38" i="1" a="1"/>
  <c r="AC38" i="1" s="1"/>
  <c r="AC75" i="1" a="1"/>
  <c r="AC75" i="1" s="1"/>
  <c r="AC7" i="1" a="1"/>
  <c r="AC7" i="1" s="1"/>
  <c r="AC94" i="1" a="1"/>
  <c r="AC94" i="1" s="1"/>
  <c r="AC52" i="1" a="1"/>
  <c r="AC52" i="1" s="1"/>
  <c r="AC72" i="1" a="1"/>
  <c r="AC72" i="1" s="1"/>
  <c r="AC11" i="1" a="1"/>
  <c r="AC11" i="1" s="1"/>
  <c r="AC43" i="1" a="1"/>
  <c r="AC43" i="1" s="1"/>
  <c r="AC10" i="1" a="1"/>
  <c r="AC10" i="1" s="1"/>
  <c r="AC88" i="1" a="1"/>
  <c r="AC88" i="1" s="1"/>
  <c r="AC54" i="1" a="1"/>
  <c r="AC54" i="1" s="1"/>
  <c r="AC23" i="1" a="1"/>
  <c r="AC23" i="1" s="1"/>
  <c r="AC86" i="1" a="1"/>
  <c r="AC86" i="1" s="1"/>
  <c r="AC66" i="1" a="1"/>
  <c r="AC66" i="1" s="1"/>
  <c r="AC68" i="1" a="1"/>
  <c r="AC68" i="1" s="1"/>
  <c r="AC29" i="1" a="1"/>
  <c r="AC29" i="1" s="1"/>
  <c r="AC3" i="1" a="1"/>
  <c r="AC3" i="1" s="1"/>
  <c r="AC102" i="1" a="1"/>
  <c r="AC102" i="1" s="1"/>
  <c r="AC32" i="1" a="1"/>
  <c r="AC32" i="1" s="1"/>
  <c r="C21" i="10" l="1"/>
  <c r="C33" i="10"/>
  <c r="C27" i="10"/>
  <c r="I15" i="4"/>
  <c r="D27" i="4"/>
  <c r="I21" i="4"/>
  <c r="D21" i="4"/>
  <c r="D20" i="4"/>
  <c r="C34" i="4"/>
  <c r="I33" i="4"/>
  <c r="D15" i="4"/>
  <c r="D26" i="4"/>
  <c r="I38" i="4"/>
  <c r="I2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<sst xmlns="http://schemas.openxmlformats.org/spreadsheetml/2006/main" count="1055" uniqueCount="242">
  <si>
    <t>MSc</t>
  </si>
  <si>
    <t>Undefined strategy;Technology integration difficulties</t>
  </si>
  <si>
    <t>BSc</t>
  </si>
  <si>
    <t>IT</t>
  </si>
  <si>
    <t>Technology integration difficulties</t>
  </si>
  <si>
    <t>Lack of expertise;Cultural resistance;Technology integration difficulties;Undefined strategy</t>
  </si>
  <si>
    <t>Cultural resistance;Technology integration difficulties</t>
  </si>
  <si>
    <t>Budget constraints</t>
  </si>
  <si>
    <t>Technology integration difficulties;Undefined strategy</t>
  </si>
  <si>
    <t>Cultural resistance</t>
  </si>
  <si>
    <t>Technology integration difficulties;Budget constraints;Cultural resistance</t>
  </si>
  <si>
    <t>Cultural resistance;Budget constraints</t>
  </si>
  <si>
    <t>Technology integration difficulties;Budget constraints</t>
  </si>
  <si>
    <t>Budget constraints;Technology integration difficulties</t>
  </si>
  <si>
    <t>Lack of expertise</t>
  </si>
  <si>
    <t>Lack of expertise;Cultural resistance</t>
  </si>
  <si>
    <t>Budget constraints;Cultural resistance</t>
  </si>
  <si>
    <t>Lack of expertise;Cultural resistance;Undefined strategy;Technology integration difficulties</t>
  </si>
  <si>
    <t>PHD</t>
  </si>
  <si>
    <t>Technology integration difficulties;Undefined strategy;Cultural resistance</t>
  </si>
  <si>
    <t>Undefined strategy</t>
  </si>
  <si>
    <t>Technology integration difficulties;Cultural resistance</t>
  </si>
  <si>
    <t>Undefined strategy;Budget constraints</t>
  </si>
  <si>
    <t>Budget constraints;Lack of expertise;Cultural resistance;Undefined strategy;Technology integration difficulties</t>
  </si>
  <si>
    <t>Phd</t>
  </si>
  <si>
    <t>CDMO/CIO</t>
  </si>
  <si>
    <t>At strategic level, What is the role of the PMO?.Monitor and control the performance of the PMO itself 2</t>
  </si>
  <si>
    <t xml:space="preserve">Gestión de la integración </t>
  </si>
  <si>
    <t xml:space="preserve">Gestión del alcance </t>
  </si>
  <si>
    <t xml:space="preserve">Gestión del tiempo </t>
  </si>
  <si>
    <t xml:space="preserve">Gestión del presupuesto </t>
  </si>
  <si>
    <t xml:space="preserve">Gestión de la calidad </t>
  </si>
  <si>
    <t xml:space="preserve">Gestión de la comunicación </t>
  </si>
  <si>
    <t xml:space="preserve">Gestión de riesgos </t>
  </si>
  <si>
    <t xml:space="preserve">Gestión de compra </t>
  </si>
  <si>
    <t>Personas</t>
  </si>
  <si>
    <t>Procesos PPM</t>
  </si>
  <si>
    <t>Relaciones</t>
  </si>
  <si>
    <t>Tecnología</t>
  </si>
  <si>
    <t>Gestión Financiera</t>
  </si>
  <si>
    <t>Función Estratégica.Proporcionar asesoramiento a la alta dirección</t>
  </si>
  <si>
    <t>Función Estratégica. Coordinar / integrar / priorizar los proyectos en el portafolio.</t>
  </si>
  <si>
    <t>Función Estratégica. Implementación de la evaluación de proyectos y gestión de los beneficios del programa.</t>
  </si>
  <si>
    <t>Función Estratégica. Promover la gestión de proyectos dentro de la organización.</t>
  </si>
  <si>
    <t>Función Estratégica.Supervisar y controlar el desempeño de la propia PMO.</t>
  </si>
  <si>
    <t>Función Táctica. Desarrollar e implementar una metodología estándar de gestión de proyectos.</t>
  </si>
  <si>
    <t>Función Táctica. Desarrollar las competencias  los profesionales, incluida la formación.</t>
  </si>
  <si>
    <t xml:space="preserve">Función Táctica.  Gestionar la base de datos de riesgos </t>
  </si>
  <si>
    <t>Función Táctica. Gestionar la base de datos de repositorio de conocimientos</t>
  </si>
  <si>
    <t>Función Táctica. Implementar y operar sistemas de iIT en la gestión de proyectos.</t>
  </si>
  <si>
    <t>Función Operativa. Informar sobre el estado del proyecto/programa a la alta dirección.</t>
  </si>
  <si>
    <t xml:space="preserve">Función Operativa. Mentoría  a los jefes de proyectos </t>
  </si>
  <si>
    <t>Función Operativa. Proporcionar tareas especializadas para los jefes de proyecto.</t>
  </si>
  <si>
    <t>Función Operativa. Gestionar uno o varios programas.</t>
  </si>
  <si>
    <t>Función Operativa. Gestionar documentación  proyecto y positorio de gestión del conocimiento.</t>
  </si>
  <si>
    <t>Experiencia PMO</t>
  </si>
  <si>
    <t>Entre 2 y 5 años</t>
  </si>
  <si>
    <t>Más de 10 años</t>
  </si>
  <si>
    <t>Menos de 2 años</t>
  </si>
  <si>
    <t>Entre 5 y 10 años</t>
  </si>
  <si>
    <t>PMO Dependiente de</t>
  </si>
  <si>
    <t>IT y Negocio</t>
  </si>
  <si>
    <t>Negocio</t>
  </si>
  <si>
    <t xml:space="preserve">Area de la Organización </t>
  </si>
  <si>
    <t>Departamental</t>
  </si>
  <si>
    <t>Proyecto-programa</t>
  </si>
  <si>
    <t>Corporativa</t>
  </si>
  <si>
    <t>Cada Departamento</t>
  </si>
  <si>
    <t>La Directiva</t>
  </si>
  <si>
    <t>Departamento Específico</t>
  </si>
  <si>
    <t>Otro Dpto</t>
  </si>
  <si>
    <t xml:space="preserve">Gestión de recursos humaños </t>
  </si>
  <si>
    <t>¿Quién es el responsable principal de liderar la transformación digital ?</t>
  </si>
  <si>
    <t xml:space="preserve">ID </t>
  </si>
  <si>
    <t>Hombre</t>
  </si>
  <si>
    <t>Mujer</t>
  </si>
  <si>
    <t>Prefiero no decir</t>
  </si>
  <si>
    <t>No binario</t>
  </si>
  <si>
    <t>Edad</t>
  </si>
  <si>
    <t>Entre 36 y 45 años</t>
  </si>
  <si>
    <t>Entre 25 y 35 años</t>
  </si>
  <si>
    <t>Mas de 45 años</t>
  </si>
  <si>
    <t>Menos de 25 años</t>
  </si>
  <si>
    <t xml:space="preserve">Nivel Educativo
      </t>
  </si>
  <si>
    <t>Bachillerato</t>
  </si>
  <si>
    <t>REFERENCE</t>
  </si>
  <si>
    <t>RECOMMENDATION</t>
  </si>
  <si>
    <t>ACKNOWLEDGEMENT</t>
  </si>
  <si>
    <t>CONCLUSION</t>
  </si>
  <si>
    <t>SECTION 3</t>
  </si>
  <si>
    <t>INTRODUCTION</t>
  </si>
  <si>
    <t>SECTION 2</t>
  </si>
  <si>
    <t>EXECUTIVE SUMMARY</t>
  </si>
  <si>
    <t>SECTION 1</t>
  </si>
  <si>
    <t>DATE:</t>
  </si>
  <si>
    <t>TEACHER:</t>
  </si>
  <si>
    <t>REPORT TITLE</t>
  </si>
  <si>
    <t>GRADE:</t>
  </si>
  <si>
    <t>ID NO.:</t>
  </si>
  <si>
    <t>John Smith</t>
  </si>
  <si>
    <t>NAME</t>
  </si>
  <si>
    <t>Modelo de Madurez - Recomendaciones</t>
  </si>
  <si>
    <t>Encuestado</t>
  </si>
  <si>
    <t>INFORME</t>
  </si>
  <si>
    <t>Estado actual transformación digital en organización</t>
  </si>
  <si>
    <t>Desafios Organizacion Transformacion Digital</t>
  </si>
  <si>
    <t>Nivel de satifsfaccion segun colaboración entre IT y otros dptos. Digitales</t>
  </si>
  <si>
    <t>Organizacion: visión clara sobre futuro estrategia en  transformación digital</t>
  </si>
  <si>
    <t>estrategia alienada entre  transformación digital y objetivos  de la organización</t>
  </si>
  <si>
    <t>Organizacion - Nivel Madurez  - Modelo Gartner</t>
  </si>
  <si>
    <t>PMO - Nivel Función Táctica</t>
  </si>
  <si>
    <t>PMO - Nivel Función Estratégica</t>
  </si>
  <si>
    <t>PMO - Nivel Operativo</t>
  </si>
  <si>
    <t>Organizacion - Nivel Madurez - Modelo Areas de Conocimiento PMI</t>
  </si>
  <si>
    <t>Genero</t>
  </si>
  <si>
    <t>Gartner Modelo de Madurez</t>
  </si>
  <si>
    <t>Nivel 0: Inexistente – ad hoc</t>
  </si>
  <si>
    <t>Nivel 1: Inicial – reactivo</t>
  </si>
  <si>
    <t>Financiero Gestión</t>
  </si>
  <si>
    <t>Nivel 2:Desarrollando ­ emergente disciplina</t>
  </si>
  <si>
    <t>Nivel 3:Definido – inicial integración</t>
  </si>
  <si>
    <t>Nivel 4: Administrado ­ creciente eficiencia</t>
  </si>
  <si>
    <t>Nivel 5: Optimizado – orientación empresarial</t>
  </si>
  <si>
    <t>PPM
Procesos</t>
  </si>
  <si>
    <t>Herramientas de programación de proyectos y
Se adoptaron informes de hitos.</t>
  </si>
  <si>
    <t>Costo del proyecto y horas de trabajo  capturadas. Estimar de beneficio hecho para cada proyecto.</t>
  </si>
  <si>
    <t xml:space="preserve"> </t>
  </si>
  <si>
    <t>Nivel 0 – Inexistente
No existe un papel formal para PPM en este nivel. La organización opera como una “adhocracia” (ver ) y el trabajo sólo se convierte en un
proyecto cuando tenga sentido para los participantes. Los equipos son a menudo
autodirigido por defecto, en lugar de por decreto. 
Desde una perspectiva organizacional, todas las solicitudes van a la misma cola y el personal se asigna según la primera disponibilidad. Las personas pueden ofrecerse como voluntarias para trabajar en tareas de su interés y la excelencia personal se vuelve obvia. Las recompensas van a los jugadores “A” (las estrellas), mientras que los jugadores “B” (buenos miembros del equipo) se dan por sentados. Los jugadores “C” (los jugadores promedio) se mantienen simplemente porque brindan un par de manos extra. A este nivel existe poca o ninguna formación o desarrollo profesional.
Se contrata a proveedores, consultores y personal de la empresa o de una empresa adquirente cuando y si los procesos formales parecen ser necesarios.</t>
  </si>
  <si>
    <t>Nivel 1 – Inicial
Se comienza a reconocer el rol de líder de PPM; aunque todavía se obtiene únicamente de proveedores y socios externos. La contratación de un empleado se considera un gasto excesivo para la empresa en su conjunto. Los gerentes individuales con experiencia
en liderazgo en PPM continúan influyendo en las decisiones a través de la adhocracia.
La dotación de personal para el proyecto se realiza de forma un poco más formal.
Los proyectos prioritarios cuentan con el personal adecuado y todo lo demás se dota de personal según la primera disponibilidad. No existe un grupo de recursos oficial; la única forma de determinar la disponibilidad de un recurso es consultar al
individuo directamente. Existen islas de excelencia y focos de caos, y cuál resulta ser un proyecto es a menudo una cuestión de suerte.</t>
  </si>
  <si>
    <t>Nivel 2: Desarrollo 
Se establece la(s) PMO(s). Los requisitos confusos sobre qué habilidades requiere el trabajo para tener éxito a menudo crean un desajuste entre las expectativas
organizacionales e individuales que aumentan significativamente las probabilidades de rotación de personal.
Se ha creado algún tipo de reserva de recursos y se dispone de datos rudimentarios sobre habilidades, aunque por lo general todavía falta una verdadera
disponibilidad. Se supone que los recursos son homogéneos en una clasificación
de puestos. Si bien los jugadores B están recibiendo un mayor reconocimiento como jugadores de equipo, las personas previamente designadas como “estrellas” se sienten confinadas y ya no tan valoradas.</t>
  </si>
  <si>
    <t>Nivel 3 – Definido
Se formaliza el rol de líder de PPM y emerge la tendencia hacia una creciente especialización (gerentes de programa y director de metodología del administrador de
cartera). El perfil de personalidad del líder de PPM comienza a cambiar. El enfoque del trabajo pasa de garantizar el cumplimiento a facilitar los resultados y la
comunicación.
La fragmentación de recursos entre el personal de un proyecto más grande se
genera porque la organización es lo suficientemente sofisticada para dotar de personal a los proyectos, pero no lo suficientemente sofisticada para manejar los problemas de personas a las que se asignan demasiados proyectos y/o tareas de mantenimiento.
La vida está empezando a ser más cómoda para los jugadores A en los equipos
de proyecto porque hay programas más formales y proyectos más innovadores para desafiar sus habilidades.
Las ofertas de capacitación inicial están disponibles, pero las opciones de capacitación individuales no están disponibles regularmente. El crecimiento profesional sigue siendo “la supervivencia del más apto” o está disponible para los pocos afortunados que trabajan para el gerente adecuado.</t>
  </si>
  <si>
    <t>Nivel 4 – Gestionado
Existe una red de líderes de PPM en toda la empresa de forma federada. Las asignaciones de gestión de programas se consideran un campo de pruebas
para la promoción a puestos de gestión de línea en operaciones. El puesto es muy respetado y buscado.
Para las organizaciones grandes, la eficacia de la gestión de recursos generalmente se beneficia al organizar al personal en centros de excelencia, lo que permite una mejor planificación de la capacidad. Un centro de excelencia garantiza que el personal técnico tenga la oportunidad de aprender y desarrollarse profesionalmente,
mientras que un director de proyecto es directamente responsable del trabajo diario que se realiza.
Los planes de formación se desarrollan para el individuo, no sólo para el grupo. Los planes de formación también están vinculados al desarrollo profesional.
Además, existe un programa formal de tutoría para todos los directores de proyectos y asignaciones de programas.</t>
  </si>
  <si>
    <t>Nivel 5: los líderes de PPM
optimizados trabajan en todas las áreas de la empresa. La especialización
aceptada (programa, cartera y estrategia) respalda el máximo rendimiento. Los líderes de PPM pueden moverse entre oportunidades profesionales en una variedad de áreas funcionales, según sus antecedentes e inclinaciones.En el Nivel 5, se han solucionado los problemas mecánicos relacionados con las
asignaciones de proyectos y el equilibrio de la carga de trabajo, y la organización ahora puede cambiar su enfoque para permitir que las personas ejerzan un mayor
control de sus asignaciones y desarrollo profesional. Las personas pueden ofertar por asignaciones y vincular sus planes de desarrollo profesional para alertarlos automáticamente sobre posibles asignaciones de proyectos. Cada individuo recibe alguna capacitación formal cada año para garantizar el desarrollo de habilidades. La innovación se fomenta mediante un programa que permite a las personas proponer nuevas ideas para proyectos de desarrollo y recibir financiación a través de un fondo exclusivo.</t>
  </si>
  <si>
    <t>Nivel 0 – Inexistente 
Los procesos
formales no existen, pero las capacidades individuales y las circunstancias estables permiten que se realice el trabajo. Las personas con habilidades metacognitivas fuertemente desarrolladas (ver Nota 4) practican lo que podría considerarse una gestión natural de proyectos. Esto se ve reforzado aún más por el enfoque en los resultados inherente a la adhocracia.
En este nivel, existe una tendencia a que las tareas y actividades, como la planificación adecuada o la optimización de procesos, queden en el olvido. Los proyectos se asignan
a gerentes de línea o de personal, pero la gestión de proyectos sólo es tan buena como la persona responsable de ejecutar el proyecto. La estrategia se refleja únicamente en
los presupuestos de alto nivel, no en los programas o carteras de apoyo. Si se considera algún riesgo, se hace como parte de una decisión de ir o no con respecto al trabajo que se está realizando. La organización no considera el impacto empresarial asociado con la mala gestión del proyecto y los fracasos del proyecto de desarrollo.</t>
  </si>
  <si>
    <t>Nivel 1 – Inicial
Las organizaciones comienzan a sentir la falta de proceso. A medida que aumenta el volumen de trabajo del proyecto y aumenta el número de personas involucradas,
hay menos héroes o gerentes de proyecto naturales disponibles y la falta de una estructura de apoyo se hace evidente. Aunque el uso de técnicas y enfoques de gestión de proyectos sigue siendo una decisión que se deja en manos de los gerentes individuales, aumenta
el número de personas que sienten que se les están negando las herramientas para hacer su trabajo.
Las estrategias para manejar el riesgo se limitan a planes de contingencia sobre qué hacer si el riesgo ocurre. No se comprende lo que es la mitigación o eliminación temprana.</t>
  </si>
  <si>
    <t>Nivel 2: Desarrollo 
La alta dirección ha aceptado la idea de que una gestión eficaz de proyectos aumentará el valor del gasto en TI. La organización está en el proceso de desarrollar y utilizar
algunas técnicas y métodos de proyecto a proyecto. Los proyectos tienen objetivos comerciales y técnicos definidos informalmente. Se han desarrollado directrices iniciales para muchos aspectos de la gestión de proyectos. La aplicación de las directrices de gestión de proyectos se deja a discreción del director del proyecto individual.
Se establece alguna combinación de oficinas de proyectos, programas y carteras para satisfacer el tamaño y los tipos de proyectos que se gestionan.
Los proyectos son monitoreados, con hitos, cronogramas y presupuestos definidos
y actualizados. Se realiza un seguimiento de una lista de proyectos aprobados y se ha establecido cierta priorización (al menos una vez al año).
Existe la disciplina de proceso necesaria con respecto al riesgo de repetir éxitos anteriores en tareas similares. Algunas decisiones sobre quién debe responder a riesgos particulares entran en la revisión
proceso.</t>
  </si>
  <si>
    <t>Nivel 3 – Definido
Las diferencias entre gestión de proyectos y gestión de programas comienzan a definirse formalmente y se han establecido y comunicado las metodologías apropiadas.
Los participantes comprenden que los programas requieren habilidades de gestión más sofisticadas y que la cantidad de partes móviles de un programa requerirá una reevaluación continua de lo que se hace y cuándo.
Los equipos de proyectos/programas y la dirección empresarial están comprometidos e involucrados en la gestión de proyectos. Si la responsabilidad del equipo del proyecto no se extiende hasta la implementación completa del proyecto, entonces se asigna un gerente de proyecto de procesos de negocios para supervisar la implementación y los esfuerzos de gestión de cambios.
Actualmente se considera que los proyectos individuales tienen perfiles de riesgo únicos.
Los gerentes de proyectos y programas desarrollan estrategias de mitigación
apropiadas para eliminar el riesgo cuando sea apropiado, en lugar de limitarse a solucionar el evento una vez que ha ocurrido.
Aunque finalmente se han codificado las reglas sobre cómo gestionar un proyecto, la creciente segmentación de los proyectos por tipo está empezando a mostrar la necesidad de más de un método. Los procesos formales de gobernanza están evolucionando y los puntos de integración se solidifican entre las funciones de PPM y las necesidades
y demandas de la comunidad.
Función de arquitectura empresarial. Por ejemplo, la selección/aprobación
de proyectos utiliza la arquitectura empresarial como punto de control, y cualquier decisión de desviarse de los estándares de EA debe abordarse formalmente.</t>
  </si>
  <si>
    <t>Nivel 4: la gestión
gestionada requiere métricas formales y estandarizadas del proyecto y lecciones aprendidas que se revisarán una vez finalizado el proyecto.
La gestión de proyectos y programas se mide y evalúa en toda la organización, no sólo dentro de la organización del proyecto.
La gerencia ha implementado una estructura organizacional de proyectos, programas y carteras con roles, responsabilidades y criterios de desempeño del personal documentados.
Se han establecido criterios para evaluar el éxito en cada hito. El valor y el riesgo se miden y
gestionados antes, durante y después de la finalización de los proyectos.
Las funciones de auditoría de proyectos garantizan que todos los proyectos se revisen en los puntos apropiados para reducir posibles dificultades o fracasos.
El riesgo se evalúa a nivel de cartera para garantizar que la agregación de proyectos no introduzca un nivel de riesgo que no se encuentre en un solo proyecto.
Aproximadamente entre el 10 % y el 30 % de los proyectos innovadores o riesgosos se planifican en cada cartera para garantizar una ventaja competitiva. La organización se siente cómoda con el hecho de que estos proyectos deben gestionarse según sus propias reglas únicas, por ejemplo, como “trabajos de zorrillo” (un proyecto gestionado fuera de las directrices tradicionales).
El requisito de tener múltiples carteras (nuevos proyectos, cambios empresariales y activos de software) se comprende y gestiona bien.</t>
  </si>
  <si>
    <t>Nivel 5: Optimizado La
oficina de PPM es responsable de proyectos y programas
multifuncionales o de toda la empresa desde el inicio hasta la posimplementación.
Un enfoque de cartera en toda la organización para la planificación de programas y proyectos garantiza que los usuarios y los recursos de TI se utilicen mejor para respaldar las iniciativas estratégicas.
Se implementa, aplica e integra una metodología comprobada de proyectos y
programas de ciclo de vida completo en la cultura de todo el programa. Se ha implementado una iniciativa continua para identificar y programar las mejores prácticas de proyectos
y PPM. Se define e implementa una estrategia de TI para el desarrollo de abastecimiento y proyectos operativos.</t>
  </si>
  <si>
    <t>0 – Inexistente
Hay un uso intermitente de herramientas para apoyar la programación de proyectos por parte de gerentes individuales. Nada en la cultura refuerza el uso de herramientas. Las opciones de software generalmente están determinadas por las necesidades y la familiaridad de los gerentes de proyectos individuales (lo que usaron en su última empresa o trabajo); A menudo utilizan hojas de cálculo.</t>
  </si>
  <si>
    <t>Nivel 1: las
herramientas de programación del proyecto inicial y los informes de hitos se adoptan proyecto por proyecto, en lugar de hacerlo según el director del proyecto.
La dirección comienza a reconocer que los proyectos más complejos pueden necesitar herramientas más formales, pero no se toman decisiones a nivel de toda la organización. No hay herramientas de gestión de recursos ni informes de proyectos disponibles.</t>
  </si>
  <si>
    <t>Nivel 2: Desarrollo 
Con la creciente demanda de herramientas basadas en Web en toda la empresa, la organización de TI comienza a establecer espacios de colaboración en proyectos y trabajo en equipo. Una única elección de proyecto El software de gestión está disponible para todos los directores de proyectos, pero su uso no es obligatorio.</t>
  </si>
  <si>
    <t>Nivel 3: definido Las
herramientas de gestión de proyectos están estandarizadas y existen entornos de colaboración para proporcionar comunicación del proyecto. Se ha elegido al menos un software de gestión de carteras ligero.
Las tarjetas de tiempo del proyecto son parte del sistema de contabilidad corporativa o se implementa un sistema separado de captura de tiempo del proyecto.
También existe un software que respalda un grupo de recursos centralizado con al menos descriptores de roles y habilidades mínimas.</t>
  </si>
  <si>
    <t>Nivel 4: el flujo de trabajo
administrado se agrega al conjunto de herramientas. Los usuarios empresariales adoptan herramientas según sea necesario. Se dispone de mejores herramientas de gestión de recursos para aprovechar los nuevos centros de excelencia. Los programas tienen flexibilidad para optimizar sus conjuntos de herramientas para
satisfacer sus requisitos únicos.</t>
  </si>
  <si>
    <t xml:space="preserve">Nivel 5: optimizado Un
sistema único e integrado admite informes, colaboración y análisis. Se están explorando sistemas expertos que modelan capacidades específicas; Para la gestión de carteras se consideran técnicas como la frontera eficiente </t>
  </si>
  <si>
    <t>Nivel 0 –
Inexistentes Las relaciones
formales en el Nivel 0 son inexistentes. Debido a que las decisiones de financiación de proyectos están ocultas en los presupuestos operativos, el apoyo financiero es limitado o nulo. Las oficinas del programa, si existen, cuentan con personal y están dirigidas por proveedores y consultores externos.
La orientación de la organización de TI se centra únicamente en la red y la infraestructura, dejando que las unidades de negocio subcontraten o subcontraten el desarrollo de aplicaciones.La empresa a menudo elude a la organización de TI, no mantiene involucrados a los líderes de TI y no acepta los aportes de la organización de TI como parte de su proceso de decisión. La organización de TI se entera de los desafíos empresariales y planifica
cuando ya es demasiado tarde para tener algún impacto.
La relación entre las unidades de negocios y los gerentes de programas de subcontratación tiende a ser personal, lo que crea un riesgo de contratación insuficiente si los
recursos en la red personal de un gerente no tienen experiencia en relación con la tarea.</t>
  </si>
  <si>
    <t>Nivel 1: los recursos
del contrato inicial continúan gestionando proyectos y programas grandes y complejos. La organización de TI y el negocio en esta etapa han identificado la necesidad de trabajar en su relación, aunque no están seguros de cómo hacerlo. La comunicación entre las dos entidades es en gran medida impersonal o a través de analistas de negocios.
La comunicación se realiza principalmente en forma de hojas de cálculo y documentos, y a través de canales de información de segunda mano (como el CFO). Los empresarios se relacionan muy poco con el personal de TI a nivel personal porque no creen
que valga la pena dedicarles su tiempo. La gestión de proyectos suele existir y los directores de proyectos interactúan con la empresa de forma transaccional y basada en proyectos (proporcionando actualizaciones, etc.).</t>
  </si>
  <si>
    <t>Nivel 2 – En desarrollo Con
un mayor reconocimiento de los proyectos, finanzas comienza a considerar la contabilidad de los proyectos. Pueden surgir conflictos entre los equipos de finanzas y de proyecto sobre lo que significa "dentro del presupuesto" y el momento de los gastos.
Las relaciones con la empresa tienden a ser difíciles en este nivel de madurez. La infraestructura del proyecto/programa está comenzando a desarrollarse, pero la atención se centra en los procesos y controles internos, generalmente a expensas de la participación en el negocio. Del mismo modo, la empresa tiende a traspasar la responsabilidad al
equipo del proyecto y disminuir la participación de lo que era común en el Nivel 1.
A medida que los procesos maduran en el Nivel 2, la interacción entre TI y el negocio comienza a ocurrir en gran medida a través del gerente de relaciones, un
individuo que sirve como enlace entre el negocio y la organización de TI. Sin embargo, en este nivel, la gestión de relaciones es relativamente inmadura: las personas
que desempeñan este rol brindan servicios básicos de comunicación (del tipo toma de órdenes). Alguna interacción entre la organización de TI y el negocio ocurre en los comités directivos de TI, especialmente para programas grandes.</t>
  </si>
  <si>
    <t>Nivel 3 – Definido
La función financiera interna está autorizada dentro de la organización de TI o de la organización del proyecto adecuada. Existe una fuerte relación matricial entre
la función financiera de TI y la organización financiera.
El papel del gestor de relaciones está evolucionando y las personas que desempeñan este papel están ganando credibilidad e influencia.
Ya no se les percibe simplemente como “tomadores de órdenes”. La organización tiene uno o más comités o juntas directivas de TI formados por personal de TI y de negocios que se reúnen periódicamente para sopesar iniciativas de TI a gran escala.
Aunque la empresa todavía desconfía hasta cierto punto de la organización de TI, algunas personas clave de TI han comenzado a penetrar el círculo empresarial.
La empresa ve algunas ventajas al interactuar con el personal de TI, generalmente en la forma de ayudar a dar forma a las prioridades de TI y comprender mejor los riesgos y evaluar la viabilidad y los beneficios a largo plazo de los proyectos.</t>
  </si>
  <si>
    <t>Nivel 4: los programas
gestionados suelen ser plurianuales y multifuncionales. La relación entre la organización de TI, las unidades de negocios y la oficina del programa deberá resolverse caso por caso porque algunos presupuestos de programas exceden el presupuesto operativo que normalmente se asigna a TI.
Un problema similar existirá para programas a gran escala que se llevan a cabo
en otras partes de la organización (más a menudo, servicio al cliente y/o varios proyectos ejecutados por el departamento de instalaciones).
Una función de comunicación dedicada se vuelve crítica con programas grandes porque muchas personas se ven afectadas. Las funciones de extensión deben ser
proactivas.
El papel del gestor de relaciones está evolucionando. Los gestores de relaciones están empezando a ser considerados asesores de confianza del negocio. Los grupos empresariales y de TI se reúnen con frecuencia para discutir no sólo las iniciativas
pendientes sino también las tendencias, los objetivos empresariales, etc. El personal de TI y los empresarios comienzan a desarrollar un respeto mutuo. Forman relaciones en las que se tienen consideración, preocupación y respeto mutuo a nivel personal. Además de sus interacciones durante la jornada laboral, pasan tiempo juntos fuera de los lugares “oficiales”. Esto puede consistir en almorzar o cenar juntos, o verse fuera del trabajo.</t>
  </si>
  <si>
    <t>Nivel 5 – Optimizado Existe
una noción ampliada de valor y costo, y la organización es consciente de la necesidad de incorporar la responsabilidad social en la toma de decisiones sobre programas y proyectos.
La organización también ha comenzado a adoptar una visión más colaborativa de su entorno y está analizando cómo sus decisiones afectan a sus socios y a la cadena de suministro.
Los gerentes de relaciones son consultores de pleno derecho de la empresa y son igualmente respetados por la organización de TI. El personal de TI y la empresa hablan entre sí de forma rutinaria, y las voces de TI tienen la misma credibilidad y peso que las de la empresa. A nivel personal, es evidente un alto grado de respeto y confianza mutuos.</t>
  </si>
  <si>
    <t>Nivel 0 – Inexistente
El trabajo del proyecto se inicia según el principio de la “rueda chirriante” (la voz
más fuerte siempre gana); y el desempeño es, en el mejor de los casos, indeterminado, debido a ineficiencias y prioridades contrapuestas. Los montos de financiación están ocultos en los presupuestos operativos. Los riesgos, si se reconocen, se tratan como preocupaciones de un gerente sobrecargado, y el valor del proyecto para la organización lo determina subjetivamente el patrocinador.</t>
  </si>
  <si>
    <t>Nivel 1 – Inicial
Los proyectos, cuando están desglosados, tienen estimaciones presupuestarias iniciales; El cálculo del costo real de un proyecto se estima en función del
número de personas que trabajan en el proyecto para cumplir con la Declaración de posición (SOP) 98­1 (ver Nota 5), pero el cálculo se considera demasiado alto para ser valioso para cualquier retroalimentación operativa. Las decisiones de gasto se controlan a nivel organizacional y no por proyecto o programa. Es posible que los proyectos de alto valor no se realicen si el patrocinador no habla.</t>
  </si>
  <si>
    <t>Nivel 2: se capturan el costo
y las horas de mano de obra del proyecto en desarrollo. Se desarrolla una “estimación aproximada” de los beneficios de cada proyecto. Se puede producir una lista de proyectos, pero no existe ningún proceso oficial para la gestión de la cartera.
Los proyectos no están formalmente alineados con la estrategia. La gestión de la cartera, si existe, se realiza anualmente y no se ajusta a los cambios a lo largo del año.
La gestión de oleoductos puede existir en el papel, pero no en la práctica.</t>
  </si>
  <si>
    <t>Nivel 3: se capturan el
costo del proyecto definido y las horas de mano de obra. Se desarrolla una estimación más sólida del beneficio para cada proyecto. La cartera de proyectos tiene al menos un número de costos y beneficios para ayudar en priorización. El análisis de la cartera es limitado y los cambios en tiempo real no se incorporan a la cartera. La nueva cartera de proyectos se aborda al menos
trimestralmente, aunque la cancelación de proyectos a menudo sigue siendo un problema.</t>
  </si>
  <si>
    <t>Nivel 4: Gestionado La
cartera se analiza frente a una variedad de variables para comprender mejor el valor y el riesgo, y para ayudar a mejorar el proceso de priorización. Se establecen
categorías de inversión de cartera y la cartera se modela teniendo en cuenta el riesgo. A los proyectos de alto riesgo se les permiten automáticamente diferentes patrones de financiación. Los proyectos se cancelan cuando corresponde.
Los resultados de los proyectos/programas se rastrean una vez finalizados para determinar cuánto valor se creó realmente. Los presupuestos de proyectos y programas incluyen no sólo fondos para contingencias sino también fondos para mitigación de riesgos.
El gasto continuo (es decir, los presupuestos aprobados por hito del proyecto) se ha aceptado como un principio sólido.</t>
  </si>
  <si>
    <t>Nivel 5: optimizado Los
datos financieros completos están disponibles para todos los gerentes de programas y proyectos. Los programas grandes tienen su propio personal financiero
para garantizar que se realice un seguimiento de los costos, pronósticos y presupuestos por programa.
Se encuentran disponibles informes financieros gerenciales que cuantifican y rastrean la realización del retorno de la inversión proyectado.</t>
  </si>
  <si>
    <t>Nivel 1: Proceso Inicial</t>
  </si>
  <si>
    <t>Nivel 2: Proceso estructurado y estándares</t>
  </si>
  <si>
    <t>Nivel 3: Estándares Organizacionales y Proceso Institucionalizado</t>
  </si>
  <si>
    <t>Nivel 4: Proceso Gestionado</t>
  </si>
  <si>
    <t>Nivel 5: Optimización del proceso</t>
  </si>
  <si>
    <t>Modelo de Madurez de Gestión de Proyectos de PM Solutions</t>
  </si>
  <si>
    <t>Modelo de Madurez de Gestión de Proyectos de Gartner - 5 Dimensiones</t>
  </si>
  <si>
    <t>Pasar de Nivel 0 a 1</t>
  </si>
  <si>
    <t>Pasar de Nivel 1 a 2</t>
  </si>
  <si>
    <t>Pasar de Nivel 2 a 3</t>
  </si>
  <si>
    <t>Pasar de Nivel 3 a 4</t>
  </si>
  <si>
    <t>Pasar de Nivel 4 a 5</t>
  </si>
  <si>
    <t>Para llegar al nivel 2 es necesario diseñar procedimientos que sirvan de base para introducir la gestión de proyectos en la cultura de su empresa.
Si tanto los empleados como la gerencia saben cómo deben manejar sus tareas (y posiblemente reaccionar en algunas emergencias), entonces ha alcanzado el nivel 2.</t>
  </si>
  <si>
    <t>El primer nivel no tiene más requisitos que la voluntad de utilizar prácticas de gestión de proyectos. 
De hecho, algunos modelos de gestión de proyectos, como el OPM3 de PMI, omiten este nivel por completo y comienzan con lo que hemos descrito como nivel 2.</t>
  </si>
  <si>
    <t>En el nivel 3, las organizaciones comienzan a tomarse más en serio la implementación de procesos estandarizados de gestión de proyectos en todos los departamentos.
Una de las mejores formas de hacerlo es mediante el uso de software de gestión de proyectos especializado como Plaky , que es lo suficientemente flexible como para adaptarse a todo tipo de proyectos y, al mismo tiempo, lo suficientemente potente como para respaldar el crecimiento de las empresas, desde nuevas empresas hasta empresas masivas.</t>
  </si>
  <si>
    <t>El nivel 3 se trata de perfeccionar la ejecución del proyecto. Para llegar al nivel 4, es necesario mirar más allá de los proyectos individuales y comenzar a observar cómo encajan en el panorama organizacional más amplio. 
Comprender la diferencia entre gestión de proyectos y gestión de programas . 
Gestionar la calidad para que todos los proyectos y programas se ajusten y contribuyan a los objetivos estratégicos de la organización.</t>
  </si>
  <si>
    <t>Comprenda que, si bien lo que tiene en el nivel 4 es excelente (el nivel 4 no es algo que la mayoría de las empresas logran), se puede mejorar. 
Para alcanzar el nivel 5, busque formas de beneficiar aún más a la organización a través de la mejora continua y el refinamiento de las prácticas de gestión de proyectos.</t>
  </si>
  <si>
    <t xml:space="preserve">            Recomendaciones  Según el Modelo de Madurez de PM Solutions</t>
  </si>
  <si>
    <t xml:space="preserve">                                                                    Recomendaciones  Según  TFG</t>
  </si>
  <si>
    <t>TBC</t>
  </si>
  <si>
    <t>TBC2</t>
  </si>
  <si>
    <t>TBC3</t>
  </si>
  <si>
    <t>TBC4</t>
  </si>
  <si>
    <t>TBC5</t>
  </si>
  <si>
    <t>Experiencia</t>
  </si>
  <si>
    <t>Niv. Educativo</t>
  </si>
  <si>
    <t>Sumario</t>
  </si>
  <si>
    <t>PMO parte de</t>
  </si>
  <si>
    <t>Género</t>
  </si>
  <si>
    <t>En este informe, se puede ver la información registrada en cada encuesta, las conclusiones extraidas y las recomendaciones para mejorar el nivel de madurez de la organización</t>
  </si>
  <si>
    <t>Nivel en Org.</t>
  </si>
  <si>
    <t>Responsible de DT</t>
  </si>
  <si>
    <t>PMO: Función Estratégica</t>
  </si>
  <si>
    <t>PMO: Función Táctica</t>
  </si>
  <si>
    <t>PMO: Funcion Operacional</t>
  </si>
  <si>
    <t>Nivel de Madurez Según PM SOLUTION</t>
  </si>
  <si>
    <t>Nivel de Madurez Según GARTNER</t>
  </si>
  <si>
    <t>En esta función el rol de la PMO es asegurar que los proyectos estén alineados con:
- Objetivos estratégicos de la organización: Los proyectos y el equipo de los proyectos están alineados con los objetivos de la empresa a largo plazo.
- Crecimiento estratégico de la organización: Los proyectos contribuyen al crecimiento del negocio.
- Manejo efectivo de la información: se mejoran las prácticas, directrices y metodologías en la administración de los proyectos y en el que la información es administrada, compartida y reutilizada, y en el que se aprende de la experiencia para proyectos futuros.</t>
  </si>
  <si>
    <t>En esta función el rol de la PMO es asegurar:
- Integración y coordinación entre las diferentes iniciativas y proyectos de la organización, monitoreando que el presupuesto, el tiempo de ejecución y los resultados.
- Calidad constante de los productos y servicios generados por los proyectos, asegurándose que los proyectos siguen los estándares y metodologías establecidos.
- La información es compartida entre todos los miembros del equipo y que existe una comunicación clara y fluida</t>
  </si>
  <si>
    <t xml:space="preserve">En esta función la PMO es responsable de:
- La PMO revisa los presupuestos y los recursos asignados a los proyectos asegurándose que se ejecutan de una manera eficiente.
- Se integra la información y experiencia adquirida en proyectos para facilitar la toma de decisiones en los procesos de implementación.
- La PMO en base a su experiencia, actúa repositorio central de las lecciones aprendidas, mejores prácticas y metodologías. </t>
  </si>
  <si>
    <t>RECOMENDACIÓNES SE PARA PASAR AL SIGUIENTE NIVEL EN EL MODELO DE MADUREZ DE PM SOLUTIONS</t>
  </si>
  <si>
    <t>Colab. IT/Negocio</t>
  </si>
  <si>
    <t>Alnieamiento estrat. Negocio y DT</t>
  </si>
  <si>
    <t xml:space="preserve">                  Encuestado</t>
  </si>
  <si>
    <t xml:space="preserve">                                                         Organización</t>
  </si>
  <si>
    <t>El impacto una PMO en la madurez una organización durante la transformación digital</t>
  </si>
  <si>
    <t>Nivel1: Proceso Inicial.
Si está familiarizado con el meme "tenemos X en casa", entonces comprender el primer nivel de este PMM debería ser fácil: es la gestión de proyectos en casa.
Intenta ser gestión de proyectos, pero aún no ha llegado a ese punto .
Esto es evidente en la abyecta falta de prácticas estandarizadas de PM. 
En cambio, todo se caracteriza por una estructura informal e improvisada, desde la documentación hasta el seguimiento de métricas.
En consecuencia, incluso medir el éxito es difícil.
Describir este nivel como inmaduro es apropiado, como un niño que da su primer paso para convertirse en adulto: sabes que llegará allí, pero tiene que comenzar en un nivel inmaduro 1.</t>
  </si>
  <si>
    <t>Nivel 2: Proceso estructurado y estándares.
En el segundo nivel, la organización tiene muchos procesos de gestión de proyectos, pero todos se aplican a nivel de equipo.
Como tal, es probable que diferentes proyectos, equipos o departamentos completos dentro de la organización se gestionen según diferentes estándares.
Al formar equipos de proyecto con empleados de diferentes departamentos, esto puede causar problemas, ya que los miembros del equipo del proyecto tendrán diferentes expectativas y experimentarán dificultades para colaborar.
En este nivel se realiza un seguimiento de las métricas de costo, cronograma y desempeño del proyecto, aunque los datos recopilados pueden no ser consistentes en términos de calidad.
Dado que a los directores de proyectos se les da básicamente rienda suelta en este nivel, el éxito de cualquier proyecto dependerá en gran medida de la eficacia del director del proyecto , independientemente de la organización.</t>
  </si>
  <si>
    <t>Nivel 3: Estándares Organizacionales y Proceso Institucionalizado. En el nivel 3, podemos ver sistemas de gestión de proyectos implementados en toda la organización.
Este sistema está formalizado a través de documentación y es utilizado por la mayoría de los proyectos dentro de la organización con muy pocas excepciones.
Si bien la automatización a veces puede verse ya en el nivel 1 o 2, en el nivel 3 es fundamental para mantener el orden y la uniformidad en la ejecución del proyecto.
La organización trata los proyectos no como si existieran en el vacío, sino como parte de un todo más grande, teniendo en cuenta otros proyectos y programas al tomar decisiones clave y evaluar el éxito del proyecto.</t>
  </si>
  <si>
    <t>Nivel 4: Proceso Gestionado.Las organizaciones de nivel 4 utilizan prácticas estandarizadas en todos los proyectos sin excepción. 
Toman datos de proyectos en curso y terminados para trazar un rumbo hacia el éxito futuro.
La gerencia en organizaciones de nivel 4 también comprende cómo ejecutar múltiples proyectos a la vez, cómo las decisiones tomadas en un proyecto pueden afectar a otros proyectos, etc. Estas decisiones siempre están impulsadas por datos.
Para seguir siendo eficientes, las organizaciones de nivel 4 utilizan la automatización para recopilar y analizar datos.
Los objetivos y procesos del proyecto siempre están sincronizados con las estrategias organizacionales.</t>
  </si>
  <si>
    <t>Nivel 5: Optimización del proceso.Para alcanzar el nivel más alto de madurez en la gestión de proyectos, lo único que las organizaciones de nivel 4 deben hacer es no volverse complacientes.
Las organizaciones de nivel 5 no tienen miedo de examinar sus procesos estandarizados y buscar fallas en ellos.
Mientras que las organizaciones de nivel 4 se esfuerzan por lograr eficiencia y productividad, las organizaciones de nivel 5 también buscan la mejora continua, tomando mucho prestado de la filosofía Lean de mejora continua de la que Toyota fue pionera.
Utilizan datos recopilados durante la ejecución del proyecto para realizar cambios organizacionales.</t>
  </si>
  <si>
    <t>Proyectos prioritarios ser apropiado dotación de personal: todo lo demás es “primero disponible." PPM naciente. Rol de líder:
principalmente todavía
un gerente individual. enfocar.</t>
  </si>
  <si>
    <t>Líderes de PPM existen en todas las áreas de la compañia. Especialización aceptada (programa, portafolio y estrategia) soporta el máximo actuación.</t>
  </si>
  <si>
    <t xml:space="preserve">Todo interno procesos centrados en la gestión de aspectos críticos proyectos. Vendedores A menudo son responsables de grandes iniciativas.
 </t>
  </si>
  <si>
    <t>Procesos del proyecto implementados. PMO(s) organizadas. emergente entendimiento de PPM. Arriesgarse ahora revisado</t>
  </si>
  <si>
    <t>Personal asignado a proyectos en un primero disponible base. PPM actividad limitada a intereses y acciones de los directivos individuales.</t>
  </si>
  <si>
    <t>Uso intermitente de programadores de proyectos, hojas de cálculo y otros herramientas puntuales en un
“por proyecto” base.</t>
  </si>
  <si>
    <t xml:space="preserve">Proyectos realizados sin formal costo, beneficio o valoración del riesgo.
 </t>
  </si>
  <si>
    <t>Los proyectos tienen estimaciones  presupuestarias, reales  se puede estimar el costo. Algún beneficio declaraciones.</t>
  </si>
  <si>
    <t>Papel del gestor de relaciones emerge.</t>
  </si>
  <si>
    <t>PMO(s) establecidas.Programas cada vez más gestionado internamente. Proyecto personal/recurso problemas de capacidad empezar a ser dirigido.</t>
  </si>
  <si>
    <t>Los proyectos son asignado a la línea o jefes de personal. nada formal Procesos PPM más allá del presupuesto de alto nivel, excepto lo dispuesto
por el exterior vendedores.</t>
  </si>
  <si>
    <t>Colaboración y equipo en el proyecto. espacios de trabajo compatibles.</t>
  </si>
  <si>
    <t>Rol de líder de PPM formalizado y
creciente tendencia a la especialización comienzo. recurso compartido Piscinas formalizadas.</t>
  </si>
  <si>
    <t>función PPM establecido. Los proyectos son aprobado en un base de cartera. Funciones de arquitectura empresarial (EA) involucradas.</t>
  </si>
  <si>
    <t>La herramienta de cartera está disponible lugar. Informes tableros de instrumentos</t>
  </si>
  <si>
    <t>Los costos se capturan y pronostican. Los beneficios son identificado y relacionado con la estrategia en la cartera.</t>
  </si>
  <si>
    <t>Los gerentes de relaciones son vistos como asesores de confianza.</t>
  </si>
  <si>
    <t>Red de PPM los líderes existen toda la empresa en un federado modelo. Centros de excelencia
mejorar la gestión de la carga de trabajo. Capacidad planificación activado.</t>
  </si>
  <si>
    <t>Proyectos similares gestionado como programas. La cartera es mantenido activamente.</t>
  </si>
  <si>
    <t>Flujo de trabajo agregado al conjunto de herramientas. Usuarios empresariales adoptar herramientas como útil.</t>
  </si>
  <si>
    <t>Relación los gerentes son consultores de pleno derecho para el negocio.</t>
  </si>
  <si>
    <t>Los programas pueden sólo ser definido y gestionado con ayuda del proveedor. organización de TI  y negocios comunicar anuncio hoc.</t>
  </si>
  <si>
    <t>Portafolio ampliado más allá de TI. Integral
PMO. Tubería gestionado en real tiempo.</t>
  </si>
  <si>
    <t>Un sistema único e integrado admite informes, colaboración y
análisis.</t>
  </si>
  <si>
    <t>Los programas tienen sus propios recursos financieros y ciclo de vida completo el costeo está disponible.</t>
  </si>
  <si>
    <t>Los aspectos de responsabilidad social son considerado como
así como el impacto en la cadena de suministro.</t>
  </si>
  <si>
    <t>La cartera es modelado y adecuadamente optimizado, teniendo en cuenta el riesgo. Se realiza un seguimiento de la realización de beneficios.</t>
  </si>
  <si>
    <t>organización de TI y negocios. intentar trabajar juntos, generalmente a través de la participación de analistas de negocios y proyectos gerente actualizaciones.</t>
  </si>
  <si>
    <t>RECOMENDACIÓNES SEGUN TFG</t>
  </si>
  <si>
    <t xml:space="preserve">
_x000D_En el nivel 3, las organizaciones comienzan a tomarse más en serio la implementación de procesos estandarizados de gestión de proyectos en todos los departamentos.
Una de las mejores formas de hacerlo es mediante el uso de software de gestión de proyectos especializado como Plaky , que es lo suficientemente flexible como para adaptarse a todo tipo de proyectos y, al mismo tiempo, lo suficientemente potente como para respaldar el crecimiento de las empresas, desde nuevas empresas hasta empresas masivas.</t>
  </si>
  <si>
    <t xml:space="preserve">
_x000D_Nivel 3: Estándares Organizacionales y Proceso Institucionalizado. En el nivel 3, podemos ver sistemas de gestión de proyectos implementados en toda la organización.
Este sistema está formalizado a través de documentación y es utilizado por la mayoría de los proyectos dentro de la organización con muy pocas excepciones.
Si bien la automatización a veces puede verse ya en el nivel 1 o 2, en el nivel 3 es fundamental para mantener el orden y la uniformidad en la ejecución del proyecto.
La organización trata los proyectos no como si existieran en el vacío, sino como parte de un todo más grande, teniendo en cuenta otros proyectos y programas al tomar decisiones clave y evaluar el éxito del proyecto.</t>
  </si>
  <si>
    <t xml:space="preserve">
_x000D_El nivel 3 se trata de perfeccionar la ejecución del proyecto. Para llegar al nivel 4, es necesario mirar más allá de los proyectos individuales y comenzar a observar cómo encajan en el panorama organizacional más amplio. 
Comprender la diferencia entre gestión de proyectos y gestión de programas . 
Gestionar la calidad para que todos los proyectos y programas se ajusten y contribuyan a los objetivos estratégicos de la organización.</t>
  </si>
  <si>
    <t xml:space="preserve">
_x000D_
_x000D_El modelo de Gartner establece el nivel de madurez en 5 dimensiones clave:
_x000D_- Dimension Personas: Red de PPM los líderes existen toda la empresa en un federado modelo. Centros de excelencia
mejorar la gestión de la carga de trabajo. Capacidad planificación activado.
_x000D_- Dimension Procesos PPM: función PPM establecido. Los proyectos son aprobado en un base de cartera. Funciones de arquitectura empresarial (EA) involucradas.
_x000D_- Dimension Tecnologia: La herramienta de cartera está disponible lugar. Informes tableros de instrumentos
_x000D_- Dimension Financiera: La cartera es modelado y adecuadamente optimizado, teniendo en cuenta el riesgo. Se realiza un seguimiento de la realización de beneficios.
_x000D_- Dimension Relaciones: Los gerentes de relaciones son vistos como asesores de confianza.
_x000D_</t>
  </si>
  <si>
    <t xml:space="preserve">
_x000D_Basandose en los resultados y las conclusuiones obtenidas durante este trabajo, en esta seccion se observan las areas la PMO del encuestado puede mejorar para incrementar la madurez de la organizacion.Las recomendaciones se han dividido por secciones:
_x000D_- Colaboracion entre IT y Negocio: Parece que el nivel de colaboracion entre los dos deparatamentos es mala o muy mala. Es muy importante actuar lo antes posible  y solucionar este problema, ya que existe una relacion entre los niveles de colaboracion entre los dos departamentos y la madurez de la organizacion
_x000D_- Nivel de Experiencia: Tambien parece que el nivel de experiencia de una PMO tiene un impacto positivo en la madurez de la organizacion. Segun avance el tiempo la PMO adquirira mayor experiencia y mejorara la madurez de la organizacion 
_x000D_- PMO dependiente de: Negocio: Una EPMO tiene mayores niveles de influencia que una PMO perteneciente solo al departamento de IT. Sin embargo se obtienen mejores niveles de madurez cuando el departamento es dependiente de IT y negocio.
_x000D_- Funcion Estrategica: Al incrementar las capacidades estrategicas de una PMO, se podra influir en los niveles de madure de la organizacion. A nivel tecnológico la gestión del portafolio de proyectos esta relacionada con la función 
_x000D_- Funcion Tactica:  Incrementar las competencias en este nivel, ayudara a potencial los individuos del equipo. A nivel tecnológico la gestión del portafolio de proyectos esta relacionada con la función 
_x000D_- Funcion Operacional:Al incrementar las capacidades operacionles de una PMO, se podra influir en los niveles de madure de la organizacion. Tambien  al incrementar las competencias en este nivel, ayudara a potencial los individuos del equipo. Los procesos de la gestión de proyectos se vera influenciadospositivamente  por las funciones operativas de una PMO 
_x000D_
_x000D_Por ultimo, cabe resenar la importancia de que halla un buen alinieamineto entre la estrategia de transformacion Digital y los objetivos de la organizacion. En este caso, la situacion es excelente y seguro que contribuye a que la gestion del programa de transformacion digital avance adecuadamente.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</si>
</sst>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quot;-&quot;mmm&quot;-&quot;yyyy"/>
  </numFmts>
  <fonts count="22">
    <font>
      <sz val="11"/>
      <color theme="1"/>
      <name val="Calibri"/>
      <family val="2"/>
      <scheme val="minor"/>
    </font>
    <font>
      <sz val="12"/>
      <color theme="1"/>
      <name val="Calibri"/>
      <family val="2"/>
      <scheme val="minor"/>
    </font>
    <font>
      <sz val="12"/>
      <color theme="1"/>
      <name val="Calibri"/>
      <family val="2"/>
      <scheme val="minor"/>
    </font>
    <font>
      <sz val="8"/>
      <name val="Calibri"/>
      <family val="2"/>
      <scheme val="minor"/>
    </font>
    <font>
      <b/>
      <sz val="12"/>
      <color theme="1"/>
      <name val="Calibri"/>
      <family val="2"/>
      <scheme val="minor"/>
    </font>
    <font>
      <sz val="10"/>
      <color rgb="FF000000"/>
      <name val="Calibri"/>
      <family val="2"/>
      <scheme val="minor"/>
    </font>
    <font>
      <sz val="11"/>
      <color theme="1"/>
      <name val="Prompt"/>
    </font>
    <font>
      <sz val="10"/>
      <name val="Arial"/>
      <family val="2"/>
    </font>
    <font>
      <b/>
      <sz val="11"/>
      <color rgb="FF243B60"/>
      <name val="Prompt"/>
    </font>
    <font>
      <b/>
      <sz val="11"/>
      <color rgb="FF6886B7"/>
      <name val="Prompt"/>
    </font>
    <font>
      <sz val="11"/>
      <color rgb="FF243B60"/>
      <name val="Prompt"/>
    </font>
    <font>
      <b/>
      <sz val="24"/>
      <color rgb="FF243B60"/>
      <name val="Prompt"/>
    </font>
    <font>
      <b/>
      <sz val="18"/>
      <color rgb="FF243B60"/>
      <name val="Barlow Condensed"/>
    </font>
    <font>
      <b/>
      <sz val="36"/>
      <color rgb="FFE3E8F0"/>
      <name val="Poppins"/>
    </font>
    <font>
      <b/>
      <sz val="18"/>
      <color rgb="FF91A8D0"/>
      <name val="Poppins"/>
    </font>
    <font>
      <sz val="18"/>
      <color theme="1"/>
      <name val="Calibri"/>
      <family val="2"/>
      <scheme val="minor"/>
    </font>
    <font>
      <sz val="13.5"/>
      <color theme="0"/>
      <name val="Arial"/>
      <family val="2"/>
    </font>
    <font>
      <sz val="10"/>
      <color theme="1"/>
      <name val="Prompt"/>
    </font>
    <font>
      <sz val="10"/>
      <color rgb="FFFF0000"/>
      <name val="Calibri"/>
      <family val="2"/>
      <scheme val="minor"/>
    </font>
    <font>
      <sz val="11"/>
      <name val="Arial"/>
      <family val="2"/>
    </font>
    <font>
      <b/>
      <sz val="12"/>
      <color rgb="FF243B60"/>
      <name val="Arial"/>
      <family val="2"/>
    </font>
    <font>
      <sz val="11"/>
      <name val="Prompt Regular"/>
    </font>
  </fonts>
  <fills count="13">
    <fill>
      <patternFill patternType="none"/>
    </fill>
    <fill>
      <patternFill patternType="gray125"/>
    </fill>
    <fill>
      <patternFill patternType="solid">
        <fgColor theme="4" tint="0.79998168889431442"/>
        <bgColor theme="4" tint="0.79998168889431442"/>
      </patternFill>
    </fill>
    <fill>
      <patternFill patternType="solid">
        <fgColor rgb="FFFF0000"/>
        <bgColor indexed="64"/>
      </patternFill>
    </fill>
    <fill>
      <patternFill patternType="solid">
        <fgColor rgb="FFFF0000"/>
        <bgColor theme="4" tint="0.79998168889431442"/>
      </patternFill>
    </fill>
    <fill>
      <patternFill patternType="solid">
        <fgColor theme="5" tint="-0.249977111117893"/>
        <bgColor indexed="64"/>
      </patternFill>
    </fill>
    <fill>
      <patternFill patternType="solid">
        <fgColor rgb="FFFFC000"/>
        <bgColor indexed="64"/>
      </patternFill>
    </fill>
    <fill>
      <patternFill patternType="solid">
        <fgColor theme="5" tint="-0.499984740745262"/>
        <bgColor indexed="64"/>
      </patternFill>
    </fill>
    <fill>
      <patternFill patternType="solid">
        <fgColor theme="9"/>
        <bgColor indexed="64"/>
      </patternFill>
    </fill>
    <fill>
      <patternFill patternType="solid">
        <fgColor theme="6"/>
        <bgColor indexed="64"/>
      </patternFill>
    </fill>
    <fill>
      <patternFill patternType="solid">
        <fgColor rgb="FFE3E8F0"/>
        <bgColor rgb="FFE3E8F0"/>
      </patternFill>
    </fill>
    <fill>
      <patternFill patternType="solid">
        <fgColor rgb="FF91A8D0"/>
        <bgColor rgb="FF91A8D0"/>
      </patternFill>
    </fill>
    <fill>
      <patternFill patternType="solid">
        <fgColor theme="4" tint="0.59999389629810485"/>
        <bgColor rgb="FFE3E8F0"/>
      </patternFill>
    </fill>
  </fills>
  <borders count="41">
    <border>
      <left/>
      <right/>
      <top/>
      <bottom/>
      <diagonal/>
    </border>
    <border>
      <left/>
      <right/>
      <top style="thin">
        <color theme="4" tint="0.39997558519241921"/>
      </top>
      <bottom style="thin">
        <color theme="4" tint="0.39997558519241921"/>
      </bottom>
      <diagonal/>
    </border>
    <border>
      <left/>
      <right style="thin">
        <color rgb="FF7B8698"/>
      </right>
      <top/>
      <bottom style="thin">
        <color rgb="FF7B8698"/>
      </bottom>
      <diagonal/>
    </border>
    <border>
      <left/>
      <right/>
      <top/>
      <bottom style="thin">
        <color rgb="FF7B8698"/>
      </bottom>
      <diagonal/>
    </border>
    <border>
      <left style="thin">
        <color rgb="FF7B8698"/>
      </left>
      <right/>
      <top/>
      <bottom style="thin">
        <color rgb="FF7B8698"/>
      </bottom>
      <diagonal/>
    </border>
    <border>
      <left/>
      <right style="thin">
        <color rgb="FF7B8698"/>
      </right>
      <top/>
      <bottom/>
      <diagonal/>
    </border>
    <border>
      <left/>
      <right style="dotted">
        <color rgb="FF6886B7"/>
      </right>
      <top/>
      <bottom style="dotted">
        <color rgb="FF6886B7"/>
      </bottom>
      <diagonal/>
    </border>
    <border>
      <left/>
      <right/>
      <top/>
      <bottom style="dotted">
        <color rgb="FF6886B7"/>
      </bottom>
      <diagonal/>
    </border>
    <border>
      <left style="dotted">
        <color rgb="FF6886B7"/>
      </left>
      <right/>
      <top/>
      <bottom style="dotted">
        <color rgb="FF6886B7"/>
      </bottom>
      <diagonal/>
    </border>
    <border>
      <left style="thin">
        <color rgb="FF7B8698"/>
      </left>
      <right/>
      <top/>
      <bottom/>
      <diagonal/>
    </border>
    <border>
      <left/>
      <right style="dotted">
        <color rgb="FF6886B7"/>
      </right>
      <top/>
      <bottom/>
      <diagonal/>
    </border>
    <border>
      <left style="dotted">
        <color rgb="FF6886B7"/>
      </left>
      <right/>
      <top/>
      <bottom/>
      <diagonal/>
    </border>
    <border>
      <left/>
      <right/>
      <top/>
      <bottom style="medium">
        <color rgb="FF6886B7"/>
      </bottom>
      <diagonal/>
    </border>
    <border>
      <left/>
      <right style="thin">
        <color rgb="FF7B8698"/>
      </right>
      <top style="thin">
        <color rgb="FF7B8698"/>
      </top>
      <bottom/>
      <diagonal/>
    </border>
    <border>
      <left/>
      <right/>
      <top style="thin">
        <color rgb="FF7B8698"/>
      </top>
      <bottom/>
      <diagonal/>
    </border>
    <border>
      <left style="thin">
        <color rgb="FF7B8698"/>
      </left>
      <right/>
      <top style="thin">
        <color rgb="FF7B8698"/>
      </top>
      <bottom/>
      <diagonal/>
    </border>
    <border>
      <left/>
      <right/>
      <top/>
      <bottom style="thin">
        <color rgb="FF91A8D0"/>
      </bottom>
      <diagonal/>
    </border>
    <border>
      <left/>
      <right/>
      <top style="thin">
        <color rgb="FF91A8D0"/>
      </top>
      <bottom style="thin">
        <color rgb="FF91A8D0"/>
      </bottom>
      <diagonal/>
    </border>
    <border>
      <left/>
      <right style="medium">
        <color rgb="FF91A8D0"/>
      </right>
      <top/>
      <bottom style="medium">
        <color rgb="FF91A8D0"/>
      </bottom>
      <diagonal/>
    </border>
    <border>
      <left/>
      <right/>
      <top/>
      <bottom style="medium">
        <color rgb="FF91A8D0"/>
      </bottom>
      <diagonal/>
    </border>
    <border>
      <left style="medium">
        <color rgb="FF91A8D0"/>
      </left>
      <right/>
      <top/>
      <bottom style="medium">
        <color rgb="FF91A8D0"/>
      </bottom>
      <diagonal/>
    </border>
    <border>
      <left/>
      <right style="medium">
        <color rgb="FF91A8D0"/>
      </right>
      <top/>
      <bottom/>
      <diagonal/>
    </border>
    <border>
      <left style="medium">
        <color rgb="FF91A8D0"/>
      </left>
      <right/>
      <top/>
      <bottom/>
      <diagonal/>
    </border>
    <border>
      <left/>
      <right style="medium">
        <color rgb="FF91A8D0"/>
      </right>
      <top style="medium">
        <color rgb="FF91A8D0"/>
      </top>
      <bottom/>
      <diagonal/>
    </border>
    <border>
      <left/>
      <right/>
      <top style="medium">
        <color rgb="FF91A8D0"/>
      </top>
      <bottom/>
      <diagonal/>
    </border>
    <border>
      <left style="medium">
        <color rgb="FF91A8D0"/>
      </left>
      <right/>
      <top style="medium">
        <color rgb="FF91A8D0"/>
      </top>
      <bottom/>
      <diagonal/>
    </border>
    <border>
      <left/>
      <right/>
      <top/>
      <bottom style="thin">
        <color rgb="FF91A8D1"/>
      </bottom>
      <diagonal/>
    </border>
    <border>
      <left/>
      <right/>
      <top style="thin">
        <color rgb="FF91A8D1"/>
      </top>
      <bottom style="thin">
        <color rgb="FF91A8D1"/>
      </bottom>
      <diagonal/>
    </border>
    <border>
      <left style="medium">
        <color rgb="FF91A8D1"/>
      </left>
      <right/>
      <top style="medium">
        <color rgb="FF91A8D1"/>
      </top>
      <bottom/>
      <diagonal/>
    </border>
    <border>
      <left/>
      <right/>
      <top style="medium">
        <color rgb="FF91A8D1"/>
      </top>
      <bottom/>
      <diagonal/>
    </border>
    <border>
      <left/>
      <right style="medium">
        <color rgb="FF91A8D1"/>
      </right>
      <top style="medium">
        <color rgb="FF91A8D1"/>
      </top>
      <bottom/>
      <diagonal/>
    </border>
    <border>
      <left style="medium">
        <color rgb="FF91A8D1"/>
      </left>
      <right/>
      <top/>
      <bottom/>
      <diagonal/>
    </border>
    <border>
      <left/>
      <right style="medium">
        <color rgb="FF91A8D1"/>
      </right>
      <top/>
      <bottom/>
      <diagonal/>
    </border>
    <border>
      <left style="medium">
        <color rgb="FF91A8D1"/>
      </left>
      <right/>
      <top/>
      <bottom style="medium">
        <color rgb="FF91A8D1"/>
      </bottom>
      <diagonal/>
    </border>
    <border>
      <left/>
      <right/>
      <top/>
      <bottom style="medium">
        <color rgb="FF91A8D1"/>
      </bottom>
      <diagonal/>
    </border>
    <border>
      <left/>
      <right style="medium">
        <color rgb="FF91A8D1"/>
      </right>
      <top/>
      <bottom style="medium">
        <color rgb="FF91A8D1"/>
      </bottom>
      <diagonal/>
    </border>
    <border>
      <left style="medium">
        <color rgb="FF91A8D1"/>
      </left>
      <right/>
      <top style="medium">
        <color rgb="FF91A8D1"/>
      </top>
      <bottom style="medium">
        <color rgb="FF91A8D1"/>
      </bottom>
      <diagonal/>
    </border>
    <border>
      <left/>
      <right/>
      <top style="medium">
        <color rgb="FF91A8D1"/>
      </top>
      <bottom style="medium">
        <color rgb="FF91A8D1"/>
      </bottom>
      <diagonal/>
    </border>
    <border>
      <left/>
      <right style="medium">
        <color rgb="FF91A8D1"/>
      </right>
      <top style="medium">
        <color rgb="FF91A8D1"/>
      </top>
      <bottom style="medium">
        <color rgb="FF91A8D1"/>
      </bottom>
      <diagonal/>
    </border>
    <border>
      <left/>
      <right/>
      <top style="medium">
        <color rgb="FF6886B7"/>
      </top>
      <bottom/>
      <diagonal/>
    </border>
    <border>
      <left/>
      <right/>
      <top style="thin">
        <color rgb="FF91A8D1"/>
      </top>
      <bottom/>
      <diagonal/>
    </border>
  </borders>
  <cellStyleXfs count="2">
    <xf numFmtId="0" fontId="0" fillId="0" borderId="0"/>
    <xf numFmtId="0" fontId="5" fillId="0" borderId="0"/>
  </cellStyleXfs>
  <cellXfs count="129">
    <xf numFmtId="0" fontId="0" fillId="0" borderId="0" xfId="0"/>
    <xf numFmtId="49" fontId="0" fillId="0" borderId="0" xfId="0" applyNumberFormat="1"/>
    <xf numFmtId="0" fontId="0" fillId="0" borderId="0" xfId="0" applyAlignment="1">
      <alignment wrapText="1"/>
    </xf>
    <xf numFmtId="49" fontId="0" fillId="0" borderId="1" xfId="0" applyNumberFormat="1" applyBorder="1"/>
    <xf numFmtId="0" fontId="0" fillId="0" borderId="1" xfId="0" applyBorder="1"/>
    <xf numFmtId="0" fontId="0" fillId="3" borderId="0" xfId="0" applyFill="1"/>
    <xf numFmtId="0" fontId="0" fillId="3" borderId="1" xfId="0" applyFill="1" applyBorder="1"/>
    <xf numFmtId="2" fontId="0" fillId="0" borderId="0" xfId="0" applyNumberFormat="1"/>
    <xf numFmtId="2" fontId="0" fillId="0" borderId="1" xfId="0" applyNumberFormat="1" applyBorder="1"/>
    <xf numFmtId="0" fontId="0" fillId="2" borderId="0" xfId="0" applyFill="1"/>
    <xf numFmtId="49" fontId="0" fillId="2" borderId="0" xfId="0" applyNumberFormat="1" applyFill="1"/>
    <xf numFmtId="0" fontId="0" fillId="4" borderId="0" xfId="0" applyFill="1"/>
    <xf numFmtId="2" fontId="0" fillId="2" borderId="0" xfId="0" applyNumberFormat="1" applyFill="1"/>
    <xf numFmtId="1" fontId="0" fillId="0" borderId="0" xfId="0" applyNumberFormat="1"/>
    <xf numFmtId="0" fontId="5" fillId="0" borderId="0" xfId="1"/>
    <xf numFmtId="0" fontId="6" fillId="0" borderId="0" xfId="1" applyFont="1" applyAlignment="1">
      <alignment horizontal="center" vertical="center" wrapText="1"/>
    </xf>
    <xf numFmtId="0" fontId="6" fillId="0" borderId="2" xfId="1" applyFont="1" applyBorder="1" applyAlignment="1">
      <alignment horizontal="center" vertical="center" wrapText="1"/>
    </xf>
    <xf numFmtId="0" fontId="6" fillId="0" borderId="3" xfId="1" applyFont="1" applyBorder="1" applyAlignment="1">
      <alignment horizontal="center" vertical="center" wrapText="1"/>
    </xf>
    <xf numFmtId="0" fontId="6" fillId="0" borderId="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9" xfId="1" applyFont="1" applyBorder="1" applyAlignment="1">
      <alignment horizontal="center" vertical="center" wrapText="1"/>
    </xf>
    <xf numFmtId="0" fontId="6" fillId="0" borderId="13" xfId="1" applyFont="1" applyBorder="1" applyAlignment="1">
      <alignment horizontal="center" vertical="center" wrapText="1"/>
    </xf>
    <xf numFmtId="0" fontId="6" fillId="0" borderId="14" xfId="1" applyFont="1" applyBorder="1" applyAlignment="1">
      <alignment horizontal="center" vertical="center" wrapText="1"/>
    </xf>
    <xf numFmtId="0" fontId="6" fillId="0" borderId="15" xfId="1" applyFont="1" applyBorder="1" applyAlignment="1">
      <alignment horizontal="center" vertical="center" wrapText="1"/>
    </xf>
    <xf numFmtId="0" fontId="9" fillId="0" borderId="0" xfId="1" applyFont="1" applyAlignment="1">
      <alignment horizontal="center" vertical="center" wrapText="1"/>
    </xf>
    <xf numFmtId="0" fontId="8" fillId="0" borderId="16" xfId="1" applyFont="1" applyBorder="1" applyAlignment="1">
      <alignment horizontal="center" vertical="center" wrapText="1"/>
    </xf>
    <xf numFmtId="0" fontId="2" fillId="0" borderId="0" xfId="0" applyFont="1" applyAlignment="1">
      <alignment vertical="top" wrapText="1"/>
    </xf>
    <xf numFmtId="0" fontId="2" fillId="3" borderId="0" xfId="0" applyFont="1" applyFill="1" applyAlignment="1">
      <alignment vertical="top" wrapText="1"/>
    </xf>
    <xf numFmtId="0" fontId="2" fillId="9" borderId="0" xfId="0" applyFont="1" applyFill="1" applyAlignment="1">
      <alignment vertical="top" wrapText="1"/>
    </xf>
    <xf numFmtId="0" fontId="2" fillId="8" borderId="0" xfId="0" applyFont="1" applyFill="1" applyAlignment="1">
      <alignment vertical="top" wrapText="1"/>
    </xf>
    <xf numFmtId="0" fontId="2" fillId="5" borderId="0" xfId="0" applyFont="1" applyFill="1" applyAlignment="1">
      <alignment vertical="top" wrapText="1"/>
    </xf>
    <xf numFmtId="0" fontId="2" fillId="6" borderId="0" xfId="0" applyFont="1" applyFill="1" applyAlignment="1">
      <alignment vertical="top" wrapText="1"/>
    </xf>
    <xf numFmtId="2" fontId="2" fillId="6" borderId="0" xfId="0" applyNumberFormat="1" applyFont="1" applyFill="1" applyAlignment="1">
      <alignment vertical="top" wrapText="1"/>
    </xf>
    <xf numFmtId="0" fontId="2" fillId="7" borderId="0" xfId="0" applyFont="1" applyFill="1" applyAlignment="1">
      <alignment vertical="top" wrapText="1"/>
    </xf>
    <xf numFmtId="2" fontId="2" fillId="7" borderId="0" xfId="0" applyNumberFormat="1" applyFont="1" applyFill="1" applyAlignment="1">
      <alignment vertical="top" wrapText="1"/>
    </xf>
    <xf numFmtId="0" fontId="0" fillId="0" borderId="0" xfId="0" applyAlignment="1">
      <alignment horizontal="left" vertical="center" wrapText="1"/>
    </xf>
    <xf numFmtId="0" fontId="4" fillId="0" borderId="0" xfId="0" applyFont="1" applyAlignment="1">
      <alignment vertical="center" wrapText="1"/>
    </xf>
    <xf numFmtId="0" fontId="16" fillId="0" borderId="0" xfId="0" applyFont="1" applyAlignment="1">
      <alignment wrapText="1"/>
    </xf>
    <xf numFmtId="0" fontId="11" fillId="0" borderId="0" xfId="1" applyFont="1" applyAlignment="1">
      <alignment horizontal="center" vertical="center" wrapText="1"/>
    </xf>
    <xf numFmtId="0" fontId="6" fillId="0" borderId="26" xfId="1" applyFont="1" applyBorder="1" applyAlignment="1">
      <alignment horizontal="center" vertical="center" wrapText="1"/>
    </xf>
    <xf numFmtId="0" fontId="6" fillId="0" borderId="27" xfId="1" applyFont="1" applyBorder="1" applyAlignment="1">
      <alignment horizontal="center" vertical="center" wrapText="1"/>
    </xf>
    <xf numFmtId="0" fontId="6" fillId="0" borderId="0" xfId="1" applyFont="1" applyAlignment="1">
      <alignment vertical="center" wrapText="1"/>
    </xf>
    <xf numFmtId="0" fontId="18" fillId="0" borderId="0" xfId="1" applyFont="1"/>
    <xf numFmtId="0" fontId="7" fillId="0" borderId="16" xfId="1" applyFont="1" applyBorder="1" applyAlignment="1">
      <alignment wrapText="1"/>
    </xf>
    <xf numFmtId="1" fontId="8" fillId="0" borderId="16" xfId="1" applyNumberFormat="1" applyFont="1" applyBorder="1" applyAlignment="1">
      <alignment horizontal="center" vertical="center" wrapText="1"/>
    </xf>
    <xf numFmtId="2" fontId="1" fillId="9" borderId="0" xfId="0" applyNumberFormat="1" applyFont="1" applyFill="1" applyAlignment="1">
      <alignment vertical="top" wrapText="1"/>
    </xf>
    <xf numFmtId="0" fontId="5" fillId="0" borderId="0" xfId="1" applyAlignment="1">
      <alignment wrapText="1"/>
    </xf>
    <xf numFmtId="0" fontId="14" fillId="10" borderId="0" xfId="0" applyFont="1" applyFill="1" applyAlignment="1">
      <alignment horizontal="left" vertical="center"/>
    </xf>
    <xf numFmtId="0" fontId="15" fillId="0" borderId="0" xfId="0" applyFont="1"/>
    <xf numFmtId="0" fontId="6" fillId="0" borderId="11" xfId="1" applyFont="1" applyBorder="1" applyAlignment="1">
      <alignment horizontal="left" vertical="top" wrapText="1"/>
    </xf>
    <xf numFmtId="0" fontId="6" fillId="0" borderId="0" xfId="1" applyFont="1" applyAlignment="1">
      <alignment horizontal="left" vertical="top" wrapText="1"/>
    </xf>
    <xf numFmtId="0" fontId="6" fillId="0" borderId="10" xfId="1" applyFont="1" applyBorder="1" applyAlignment="1">
      <alignment horizontal="left" vertical="top" wrapText="1"/>
    </xf>
    <xf numFmtId="0" fontId="6" fillId="0" borderId="8" xfId="1" applyFont="1" applyBorder="1" applyAlignment="1">
      <alignment horizontal="left" vertical="top" wrapText="1"/>
    </xf>
    <xf numFmtId="0" fontId="6" fillId="0" borderId="7" xfId="1" applyFont="1" applyBorder="1" applyAlignment="1">
      <alignment horizontal="left" vertical="top" wrapText="1"/>
    </xf>
    <xf numFmtId="0" fontId="6" fillId="0" borderId="6" xfId="1" applyFont="1" applyBorder="1" applyAlignment="1">
      <alignment horizontal="left" vertical="top" wrapText="1"/>
    </xf>
    <xf numFmtId="0" fontId="6" fillId="0" borderId="11" xfId="1" applyFont="1" applyBorder="1" applyAlignment="1">
      <alignment vertical="top" wrapText="1"/>
    </xf>
    <xf numFmtId="0" fontId="6" fillId="0" borderId="0" xfId="1" applyFont="1" applyAlignment="1">
      <alignment vertical="top" wrapText="1"/>
    </xf>
    <xf numFmtId="0" fontId="6" fillId="0" borderId="10" xfId="1" applyFont="1" applyBorder="1" applyAlignment="1">
      <alignment vertical="top" wrapText="1"/>
    </xf>
    <xf numFmtId="0" fontId="6" fillId="0" borderId="8" xfId="1" applyFont="1" applyBorder="1" applyAlignment="1">
      <alignment vertical="top" wrapText="1"/>
    </xf>
    <xf numFmtId="0" fontId="6" fillId="0" borderId="7" xfId="1" applyFont="1" applyBorder="1" applyAlignment="1">
      <alignment vertical="top" wrapText="1"/>
    </xf>
    <xf numFmtId="0" fontId="6" fillId="0" borderId="6" xfId="1" applyFont="1" applyBorder="1" applyAlignment="1">
      <alignment vertical="top" wrapText="1"/>
    </xf>
    <xf numFmtId="0" fontId="8" fillId="12" borderId="0" xfId="1" applyFont="1" applyFill="1" applyAlignment="1">
      <alignment horizontal="center" vertical="center" wrapText="1"/>
    </xf>
    <xf numFmtId="0" fontId="10" fillId="0" borderId="17" xfId="1" applyFont="1" applyBorder="1" applyAlignment="1">
      <alignment horizontal="center" vertical="center" wrapText="1"/>
    </xf>
    <xf numFmtId="0" fontId="7" fillId="0" borderId="17" xfId="1" applyFont="1" applyBorder="1"/>
    <xf numFmtId="0" fontId="8" fillId="10" borderId="0" xfId="1" applyFont="1" applyFill="1" applyAlignment="1">
      <alignment horizontal="center" vertical="center" wrapText="1"/>
    </xf>
    <xf numFmtId="0" fontId="5" fillId="0" borderId="0" xfId="1"/>
    <xf numFmtId="0" fontId="20" fillId="10" borderId="39" xfId="1" applyFont="1" applyFill="1" applyBorder="1" applyAlignment="1">
      <alignment horizontal="center" vertical="center" textRotation="45" wrapText="1"/>
    </xf>
    <xf numFmtId="0" fontId="20" fillId="10" borderId="0" xfId="1" applyFont="1" applyFill="1" applyAlignment="1">
      <alignment horizontal="center" vertical="center" textRotation="45" wrapText="1"/>
    </xf>
    <xf numFmtId="0" fontId="20" fillId="10" borderId="12" xfId="1" applyFont="1" applyFill="1" applyBorder="1" applyAlignment="1">
      <alignment horizontal="center" vertical="center" textRotation="45" wrapText="1"/>
    </xf>
    <xf numFmtId="0" fontId="6" fillId="11" borderId="0" xfId="1" applyFont="1" applyFill="1" applyAlignment="1">
      <alignment horizontal="center" vertical="center" wrapText="1"/>
    </xf>
    <xf numFmtId="0" fontId="7" fillId="0" borderId="10" xfId="1" applyFont="1" applyBorder="1"/>
    <xf numFmtId="0" fontId="17" fillId="0" borderId="0" xfId="1" applyFont="1" applyAlignment="1">
      <alignment horizontal="left" vertical="center" wrapText="1"/>
    </xf>
    <xf numFmtId="0" fontId="5" fillId="0" borderId="0" xfId="1" applyAlignment="1">
      <alignment horizontal="left"/>
    </xf>
    <xf numFmtId="0" fontId="7" fillId="0" borderId="10" xfId="1" applyFont="1" applyBorder="1" applyAlignment="1">
      <alignment horizontal="left"/>
    </xf>
    <xf numFmtId="0" fontId="7" fillId="0" borderId="7" xfId="1" applyFont="1" applyBorder="1" applyAlignment="1">
      <alignment horizontal="left"/>
    </xf>
    <xf numFmtId="0" fontId="7" fillId="0" borderId="6" xfId="1" applyFont="1" applyBorder="1" applyAlignment="1">
      <alignment horizontal="left"/>
    </xf>
    <xf numFmtId="0" fontId="13" fillId="11" borderId="0" xfId="1" applyFont="1" applyFill="1" applyAlignment="1">
      <alignment horizontal="center" vertical="center" wrapText="1"/>
    </xf>
    <xf numFmtId="0" fontId="12" fillId="10" borderId="0" xfId="1" applyFont="1" applyFill="1" applyAlignment="1">
      <alignment horizontal="center" vertical="center" wrapText="1"/>
    </xf>
    <xf numFmtId="0" fontId="9" fillId="10" borderId="0" xfId="1" applyFont="1" applyFill="1" applyAlignment="1">
      <alignment horizontal="center" vertical="center" wrapText="1"/>
    </xf>
    <xf numFmtId="0" fontId="10" fillId="0" borderId="0" xfId="1" applyFont="1" applyAlignment="1">
      <alignment horizontal="center" vertical="center" wrapText="1"/>
    </xf>
    <xf numFmtId="0" fontId="6" fillId="0" borderId="28" xfId="1" applyFont="1" applyBorder="1" applyAlignment="1">
      <alignment horizontal="center" vertical="center" wrapText="1"/>
    </xf>
    <xf numFmtId="0" fontId="5" fillId="0" borderId="29" xfId="1" applyBorder="1"/>
    <xf numFmtId="0" fontId="7" fillId="0" borderId="30" xfId="1" applyFont="1" applyBorder="1"/>
    <xf numFmtId="0" fontId="7" fillId="0" borderId="31" xfId="1" applyFont="1" applyBorder="1"/>
    <xf numFmtId="0" fontId="7" fillId="0" borderId="32" xfId="1" applyFont="1" applyBorder="1"/>
    <xf numFmtId="0" fontId="7" fillId="0" borderId="33" xfId="1" applyFont="1" applyBorder="1"/>
    <xf numFmtId="0" fontId="7" fillId="0" borderId="34" xfId="1" applyFont="1" applyBorder="1"/>
    <xf numFmtId="0" fontId="7" fillId="0" borderId="35" xfId="1" applyFont="1" applyBorder="1"/>
    <xf numFmtId="0" fontId="9" fillId="10" borderId="0" xfId="1" applyFont="1" applyFill="1" applyAlignment="1">
      <alignment horizontal="left" vertical="center" wrapText="1"/>
    </xf>
    <xf numFmtId="0" fontId="11" fillId="0" borderId="25" xfId="1" applyFont="1" applyBorder="1" applyAlignment="1">
      <alignment horizontal="center" vertical="center" wrapText="1"/>
    </xf>
    <xf numFmtId="0" fontId="11" fillId="0" borderId="24" xfId="1" applyFont="1" applyBorder="1" applyAlignment="1">
      <alignment horizontal="center" vertical="center" wrapText="1"/>
    </xf>
    <xf numFmtId="0" fontId="11" fillId="0" borderId="23" xfId="1" applyFont="1" applyBorder="1" applyAlignment="1">
      <alignment horizontal="center" vertical="center" wrapText="1"/>
    </xf>
    <xf numFmtId="0" fontId="11" fillId="0" borderId="22" xfId="1" applyFont="1" applyBorder="1" applyAlignment="1">
      <alignment horizontal="center" vertical="center" wrapText="1"/>
    </xf>
    <xf numFmtId="0" fontId="11" fillId="0" borderId="0" xfId="1" applyFont="1" applyAlignment="1">
      <alignment horizontal="center" vertical="center" wrapText="1"/>
    </xf>
    <xf numFmtId="0" fontId="11" fillId="0" borderId="21" xfId="1" applyFont="1" applyBorder="1" applyAlignment="1">
      <alignment horizontal="center" vertical="center" wrapText="1"/>
    </xf>
    <xf numFmtId="0" fontId="11" fillId="0" borderId="20" xfId="1" applyFont="1" applyBorder="1" applyAlignment="1">
      <alignment horizontal="center" vertical="center" wrapText="1"/>
    </xf>
    <xf numFmtId="0" fontId="11" fillId="0" borderId="19" xfId="1" applyFont="1" applyBorder="1" applyAlignment="1">
      <alignment horizontal="center" vertical="center" wrapText="1"/>
    </xf>
    <xf numFmtId="0" fontId="11" fillId="0" borderId="18" xfId="1" applyFont="1" applyBorder="1" applyAlignment="1">
      <alignment horizontal="center" vertical="center" wrapText="1"/>
    </xf>
    <xf numFmtId="0" fontId="9" fillId="10" borderId="36" xfId="1" applyFont="1" applyFill="1" applyBorder="1" applyAlignment="1">
      <alignment horizontal="center" vertical="center" wrapText="1"/>
    </xf>
    <xf numFmtId="0" fontId="9" fillId="10" borderId="37" xfId="1" applyFont="1" applyFill="1" applyBorder="1" applyAlignment="1">
      <alignment horizontal="center" vertical="center" wrapText="1"/>
    </xf>
    <xf numFmtId="0" fontId="9" fillId="10" borderId="38" xfId="1" applyFont="1" applyFill="1" applyBorder="1" applyAlignment="1">
      <alignment horizontal="center" vertical="center" wrapText="1"/>
    </xf>
    <xf numFmtId="0" fontId="7" fillId="0" borderId="24" xfId="1" applyFont="1" applyBorder="1"/>
    <xf numFmtId="0" fontId="7" fillId="0" borderId="23" xfId="1" applyFont="1" applyBorder="1"/>
    <xf numFmtId="0" fontId="7" fillId="0" borderId="22" xfId="1" applyFont="1" applyBorder="1"/>
    <xf numFmtId="0" fontId="7" fillId="0" borderId="21" xfId="1" applyFont="1" applyBorder="1"/>
    <xf numFmtId="0" fontId="7" fillId="0" borderId="20" xfId="1" applyFont="1" applyBorder="1"/>
    <xf numFmtId="0" fontId="7" fillId="0" borderId="19" xfId="1" applyFont="1" applyBorder="1"/>
    <xf numFmtId="0" fontId="7" fillId="0" borderId="18" xfId="1" applyFont="1" applyBorder="1"/>
    <xf numFmtId="0" fontId="8" fillId="0" borderId="16" xfId="1" applyFont="1" applyBorder="1" applyAlignment="1">
      <alignment horizontal="center" vertical="center" wrapText="1"/>
    </xf>
    <xf numFmtId="0" fontId="7" fillId="0" borderId="16" xfId="1" applyFont="1" applyBorder="1"/>
    <xf numFmtId="0" fontId="9" fillId="0" borderId="0" xfId="1" applyFont="1" applyAlignment="1">
      <alignment horizontal="center" vertical="center" wrapText="1"/>
    </xf>
    <xf numFmtId="164" fontId="6" fillId="0" borderId="16" xfId="1" applyNumberFormat="1" applyFont="1" applyBorder="1" applyAlignment="1">
      <alignment horizontal="center" vertical="center" wrapText="1"/>
    </xf>
    <xf numFmtId="0" fontId="8" fillId="10" borderId="0" xfId="1" applyFont="1" applyFill="1" applyAlignment="1">
      <alignment horizontal="center" vertical="center" textRotation="255" wrapText="1"/>
    </xf>
    <xf numFmtId="0" fontId="7" fillId="0" borderId="12" xfId="1" applyFont="1" applyBorder="1"/>
    <xf numFmtId="0" fontId="6" fillId="0" borderId="0" xfId="1" applyFont="1" applyAlignment="1">
      <alignment horizontal="center" vertical="center" wrapText="1"/>
    </xf>
    <xf numFmtId="0" fontId="6" fillId="0" borderId="11" xfId="1" applyFont="1" applyBorder="1" applyAlignment="1">
      <alignment horizontal="center" vertical="center" wrapText="1"/>
    </xf>
    <xf numFmtId="0" fontId="7" fillId="0" borderId="11" xfId="1" applyFont="1" applyBorder="1"/>
    <xf numFmtId="0" fontId="7" fillId="0" borderId="8" xfId="1" applyFont="1" applyBorder="1"/>
    <xf numFmtId="0" fontId="7" fillId="0" borderId="7" xfId="1" applyFont="1" applyBorder="1"/>
    <xf numFmtId="0" fontId="7" fillId="0" borderId="6" xfId="1" applyFont="1" applyBorder="1"/>
    <xf numFmtId="0" fontId="6" fillId="0" borderId="11" xfId="1" applyFont="1" applyBorder="1" applyAlignment="1">
      <alignment horizontal="left" vertical="center" wrapText="1"/>
    </xf>
    <xf numFmtId="0" fontId="6" fillId="0" borderId="40" xfId="1" applyFont="1" applyBorder="1" applyAlignment="1">
      <alignment horizontal="center" vertical="center" wrapText="1"/>
    </xf>
    <xf numFmtId="0" fontId="19" fillId="0" borderId="40" xfId="1" applyFont="1" applyBorder="1" applyAlignment="1">
      <alignment vertical="top" wrapText="1"/>
    </xf>
    <xf numFmtId="0" fontId="7" fillId="0" borderId="40" xfId="1" applyFont="1" applyBorder="1" applyAlignment="1">
      <alignment horizontal="left"/>
    </xf>
    <xf numFmtId="0" fontId="21" fillId="0" borderId="11" xfId="1" applyFont="1" applyBorder="1" applyAlignment="1">
      <alignment vertical="top" wrapText="1"/>
    </xf>
    <xf numFmtId="0" fontId="21" fillId="0" borderId="0" xfId="1" applyFont="1" applyBorder="1" applyAlignment="1">
      <alignment vertical="top" wrapText="1"/>
    </xf>
    <xf numFmtId="0" fontId="21" fillId="0" borderId="8" xfId="1" applyFont="1" applyBorder="1" applyAlignment="1">
      <alignment vertical="top" wrapText="1"/>
    </xf>
    <xf numFmtId="0" fontId="21" fillId="0" borderId="7" xfId="1" applyFont="1" applyBorder="1" applyAlignment="1">
      <alignment vertical="top" wrapText="1"/>
    </xf>
    <xf numFmtId="0" fontId="21" fillId="0" borderId="10" xfId="1" applyFont="1" applyBorder="1" applyAlignment="1">
      <alignment vertical="top" wrapText="1"/>
    </xf>
  </cellXfs>
  <cellStyles count="2">
    <cellStyle name="Normal" xfId="0" builtinId="0"/>
    <cellStyle name="Normal 2" xfId="1" xr:uid="{E302D3E7-E14E-2241-8F9C-B0896D9B4CA1}"/>
  </cellStyles>
  <dxfs count="87">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3.5"/>
        <color theme="0"/>
        <name val="Arial"/>
        <family val="2"/>
        <scheme val="none"/>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3.5"/>
        <color theme="0"/>
        <name val="Arial"/>
        <family val="2"/>
        <scheme val="none"/>
      </font>
      <alignment horizontal="general" vertical="bottom" textRotation="0" wrapText="1" indent="0" justifyLastLine="0" shrinkToFit="0" readingOrder="0"/>
    </dxf>
    <dxf>
      <numFmt numFmtId="2" formatCode="0.00"/>
    </dxf>
    <dxf>
      <numFmt numFmtId="30" formatCode="@"/>
    </dxf>
    <dxf>
      <numFmt numFmtId="30" formatCode="@"/>
    </dxf>
    <dxf>
      <numFmt numFmtId="30" formatCode="@"/>
    </dxf>
    <dxf>
      <numFmt numFmtId="30" formatCode="@"/>
    </dxf>
    <dxf>
      <numFmt numFmtId="30" formatCode="@"/>
    </dxf>
    <dxf>
      <numFmt numFmtId="2" formatCode="0.00"/>
    </dxf>
    <dxf>
      <numFmt numFmtId="30" formatCode="@"/>
    </dxf>
    <dxf>
      <numFmt numFmtId="30" formatCode="@"/>
    </dxf>
    <dxf>
      <numFmt numFmtId="30" formatCode="@"/>
    </dxf>
    <dxf>
      <numFmt numFmtId="30" formatCode="@"/>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bgColor rgb="FFFF0000"/>
        </patternFill>
      </fil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2" formatCode="0.00"/>
    </dxf>
    <dxf>
      <font>
        <strike val="0"/>
        <outline val="0"/>
        <shadow val="0"/>
        <u val="none"/>
        <vertAlign val="baseline"/>
        <sz val="12"/>
        <color theme="1"/>
        <name val="Calibri"/>
        <family val="2"/>
        <scheme val="minor"/>
      </font>
      <alignment horizontal="general" vertical="top"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strike val="0"/>
        <outline val="0"/>
        <shadow val="0"/>
        <u val="none"/>
        <vertAlign val="baseline"/>
        <sz val="12"/>
        <color theme="1"/>
        <name val="Calibri"/>
        <family val="2"/>
        <scheme val="minor"/>
      </font>
      <alignment horizontal="general"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3.5"/>
        <color theme="0"/>
        <name val="Arial"/>
        <family val="2"/>
        <scheme val="none"/>
      </font>
      <alignment horizontal="general" vertical="bottom"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strike val="0"/>
        <outline val="0"/>
        <shadow val="0"/>
        <u val="none"/>
        <vertAlign val="baseline"/>
        <sz val="12"/>
        <color theme="1"/>
        <name val="Calibri"/>
        <family val="2"/>
        <scheme val="minor"/>
      </font>
      <alignment horizontal="general"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1A8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lumnosunir-my.sharepoint.com/personal/pablo_alejandre184_comunidadunir_net/Documents/TFG/Proyecto/School-Report-Template%20-%20copy.xlsx" TargetMode="External"/><Relationship Id="rId1" Type="http://schemas.openxmlformats.org/officeDocument/2006/relationships/externalLinkPath" Target="School-Report-Template%20-%20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 Report"/>
      <sheetName val="School Report Details"/>
      <sheetName val="Report Title List"/>
      <sheetName val="Student List"/>
      <sheetName val="Instructions"/>
    </sheetNames>
    <sheetDataSet>
      <sheetData sheetId="0"/>
      <sheetData sheetId="1">
        <row r="7">
          <cell r="B7" t="str">
            <v>A Study of Renewable Energy Sources</v>
          </cell>
          <cell r="C7" t="str">
            <v>This report aims to provide an overview of various renewable energy sources and their potential in mitigating environmental challenges. It discusses the benefits and drawbacks of solar, wind, and biomass energy, offering insights into their feasibility for widespread adoption.</v>
          </cell>
          <cell r="D7" t="str">
            <v>In an era where sustainable energy solutions are paramount, this report delves into renewable energy sources as viable alternatives to fossil fuels. With the imminent threat of climate change, understanding and embracing such resources is crucial for a sustainable future.</v>
          </cell>
          <cell r="E7" t="str">
            <v>Solar Energy</v>
          </cell>
          <cell r="F7" t="str">
            <v xml:space="preserve">Solar energy harnesses the power of sunlight to generate electricity. Photovoltaic cells convert sunlight directly into electricity, while solar thermal systems utilize mirrors or lenses to concentrate sunlight into heat energy. </v>
          </cell>
          <cell r="G7" t="str">
            <v>Wind Energy</v>
          </cell>
          <cell r="H7" t="str">
            <v>Wind energy captures kinetic energy from the wind and converts it into electricity through wind turbines. It is a mature and widely deployed technology, particularly in regions with consistent wind patterns.</v>
          </cell>
          <cell r="I7" t="str">
            <v xml:space="preserve"> Biomass Energy</v>
          </cell>
          <cell r="J7" t="str">
            <v>Biomass energy derives from organic materials like agricultural residues, wood, and animal waste. These materials can be processed to produce biofuels, biogas, or used directly for heating and electricity generation.</v>
          </cell>
          <cell r="K7" t="str">
            <v>Renewable energy sources offer promising alternatives to fossil fuels. Each source presents distinct advantages and challenges, making them complementary in a diversified energy portfolio. A balanced approach and continued research are necessary for a sustainable energy transition.</v>
          </cell>
          <cell r="L7" t="str">
            <v>1. Investment in Research and Development: Allocate resources for research into more efficient and cost-effective renewable energy technologies.
2. Policy Support: Implement policies that incentivize the adoption of renewable energy solutions and discourage reliance on non-renewable sources.
3. Community Education: Educate communities about the benefits of renewable energy and ways to incorporate it into daily life.</v>
          </cell>
          <cell r="M7" t="str">
            <v xml:space="preserve">I would like to express my gratitude to Mr. Smith for his guidance and support throughout the preparation of this report.
</v>
          </cell>
          <cell r="N7" t="str">
            <v>- Smith, J. (2023). Solar Energy: Principles and Applications. Publisher X.
- Doe, J. (2023). Wind Energy: Harnessing Nature's Power. Publisher Y.
- Brown, A. (2022). Biomass Energy: Sustainable Practices. Publisher Z.</v>
          </cell>
        </row>
        <row r="8">
          <cell r="B8"/>
          <cell r="C8"/>
          <cell r="D8"/>
          <cell r="E8"/>
          <cell r="F8"/>
          <cell r="G8"/>
          <cell r="H8"/>
          <cell r="I8"/>
          <cell r="J8"/>
          <cell r="K8"/>
          <cell r="L8"/>
          <cell r="M8"/>
          <cell r="N8"/>
        </row>
        <row r="9">
          <cell r="B9"/>
          <cell r="C9"/>
          <cell r="D9"/>
          <cell r="E9"/>
          <cell r="F9"/>
          <cell r="G9"/>
          <cell r="H9"/>
          <cell r="I9"/>
          <cell r="J9"/>
          <cell r="K9"/>
          <cell r="L9"/>
          <cell r="M9"/>
          <cell r="N9"/>
        </row>
        <row r="10">
          <cell r="B10"/>
          <cell r="C10"/>
          <cell r="D10"/>
          <cell r="E10"/>
          <cell r="F10"/>
          <cell r="G10"/>
          <cell r="H10"/>
          <cell r="I10"/>
          <cell r="J10"/>
          <cell r="K10"/>
          <cell r="L10"/>
          <cell r="M10"/>
          <cell r="N10"/>
        </row>
        <row r="11">
          <cell r="B11"/>
          <cell r="C11"/>
          <cell r="D11"/>
          <cell r="E11"/>
          <cell r="F11"/>
          <cell r="G11"/>
          <cell r="H11"/>
          <cell r="I11"/>
          <cell r="J11"/>
          <cell r="K11"/>
          <cell r="L11"/>
          <cell r="M11"/>
          <cell r="N11"/>
        </row>
        <row r="12">
          <cell r="B12"/>
          <cell r="C12"/>
          <cell r="D12"/>
          <cell r="E12"/>
          <cell r="F12"/>
          <cell r="G12"/>
          <cell r="H12"/>
          <cell r="I12"/>
          <cell r="J12"/>
          <cell r="K12"/>
          <cell r="L12"/>
          <cell r="M12"/>
          <cell r="N12"/>
        </row>
        <row r="13">
          <cell r="B13"/>
          <cell r="C13"/>
          <cell r="D13"/>
          <cell r="E13"/>
          <cell r="F13"/>
          <cell r="G13"/>
          <cell r="H13"/>
          <cell r="I13"/>
          <cell r="J13"/>
          <cell r="K13"/>
          <cell r="L13"/>
          <cell r="M13"/>
          <cell r="N13"/>
        </row>
        <row r="14">
          <cell r="B14"/>
          <cell r="C14"/>
          <cell r="D14"/>
          <cell r="E14"/>
          <cell r="F14"/>
          <cell r="G14"/>
          <cell r="H14"/>
          <cell r="I14"/>
          <cell r="J14"/>
          <cell r="K14"/>
          <cell r="L14"/>
          <cell r="M14"/>
          <cell r="N14"/>
        </row>
        <row r="15">
          <cell r="B15"/>
          <cell r="C15"/>
          <cell r="D15"/>
          <cell r="E15"/>
          <cell r="F15"/>
          <cell r="G15"/>
          <cell r="H15"/>
          <cell r="I15"/>
          <cell r="J15"/>
          <cell r="K15"/>
          <cell r="L15"/>
          <cell r="M15"/>
          <cell r="N15"/>
        </row>
        <row r="16">
          <cell r="B16"/>
          <cell r="C16"/>
          <cell r="D16"/>
          <cell r="E16"/>
          <cell r="F16"/>
          <cell r="G16"/>
          <cell r="H16"/>
          <cell r="I16"/>
          <cell r="J16"/>
          <cell r="K16"/>
          <cell r="L16"/>
          <cell r="M16"/>
          <cell r="N16"/>
        </row>
        <row r="17">
          <cell r="B17"/>
          <cell r="C17"/>
          <cell r="D17"/>
          <cell r="E17"/>
          <cell r="F17"/>
          <cell r="G17"/>
          <cell r="H17"/>
          <cell r="I17"/>
          <cell r="J17"/>
          <cell r="K17"/>
          <cell r="L17"/>
          <cell r="M17"/>
          <cell r="N17"/>
        </row>
        <row r="18">
          <cell r="B18"/>
          <cell r="C18"/>
          <cell r="D18"/>
          <cell r="E18"/>
          <cell r="F18"/>
          <cell r="G18"/>
          <cell r="H18"/>
          <cell r="I18"/>
          <cell r="J18"/>
          <cell r="K18"/>
          <cell r="L18"/>
          <cell r="M18"/>
          <cell r="N18"/>
        </row>
        <row r="19">
          <cell r="B19"/>
          <cell r="C19"/>
          <cell r="D19"/>
          <cell r="E19"/>
          <cell r="F19"/>
          <cell r="G19"/>
          <cell r="H19"/>
          <cell r="I19"/>
          <cell r="J19"/>
          <cell r="K19"/>
          <cell r="L19"/>
          <cell r="M19"/>
          <cell r="N19"/>
        </row>
        <row r="20">
          <cell r="B20"/>
          <cell r="C20"/>
          <cell r="D20"/>
          <cell r="E20"/>
          <cell r="F20"/>
          <cell r="G20"/>
          <cell r="H20"/>
          <cell r="I20"/>
          <cell r="J20"/>
          <cell r="K20"/>
          <cell r="L20"/>
          <cell r="M20"/>
          <cell r="N20"/>
        </row>
        <row r="21">
          <cell r="B21"/>
          <cell r="C21"/>
          <cell r="D21"/>
          <cell r="E21"/>
          <cell r="F21"/>
          <cell r="G21"/>
          <cell r="H21"/>
          <cell r="I21"/>
          <cell r="J21"/>
          <cell r="K21"/>
          <cell r="L21"/>
          <cell r="M21"/>
          <cell r="N21"/>
        </row>
        <row r="22">
          <cell r="B22"/>
          <cell r="C22"/>
          <cell r="D22"/>
          <cell r="E22"/>
          <cell r="F22"/>
          <cell r="G22"/>
          <cell r="H22"/>
          <cell r="I22"/>
          <cell r="J22"/>
          <cell r="K22"/>
          <cell r="L22"/>
          <cell r="M22"/>
          <cell r="N22"/>
        </row>
        <row r="23">
          <cell r="B23"/>
          <cell r="C23"/>
          <cell r="D23"/>
          <cell r="E23"/>
          <cell r="F23"/>
          <cell r="G23"/>
          <cell r="H23"/>
          <cell r="I23"/>
          <cell r="J23"/>
          <cell r="K23"/>
          <cell r="L23"/>
          <cell r="M23"/>
          <cell r="N23"/>
        </row>
        <row r="24">
          <cell r="B24"/>
          <cell r="C24"/>
          <cell r="D24"/>
          <cell r="E24"/>
          <cell r="F24"/>
          <cell r="G24"/>
          <cell r="H24"/>
          <cell r="I24"/>
          <cell r="J24"/>
          <cell r="K24"/>
          <cell r="L24"/>
          <cell r="M24"/>
          <cell r="N24"/>
        </row>
        <row r="25">
          <cell r="B25"/>
          <cell r="C25"/>
          <cell r="D25"/>
          <cell r="E25"/>
          <cell r="F25"/>
          <cell r="G25"/>
          <cell r="H25"/>
          <cell r="I25"/>
          <cell r="J25"/>
          <cell r="K25"/>
          <cell r="L25"/>
          <cell r="M25"/>
          <cell r="N25"/>
        </row>
        <row r="26">
          <cell r="B26"/>
          <cell r="C26"/>
          <cell r="D26"/>
          <cell r="E26"/>
          <cell r="F26"/>
          <cell r="G26"/>
          <cell r="H26"/>
          <cell r="I26"/>
          <cell r="J26"/>
          <cell r="K26"/>
          <cell r="L26"/>
          <cell r="M26"/>
          <cell r="N26"/>
        </row>
        <row r="27">
          <cell r="B27"/>
          <cell r="C27"/>
          <cell r="D27"/>
          <cell r="E27"/>
          <cell r="F27"/>
          <cell r="G27"/>
          <cell r="H27"/>
          <cell r="I27"/>
          <cell r="J27"/>
          <cell r="K27"/>
          <cell r="L27"/>
          <cell r="M27"/>
          <cell r="N27"/>
        </row>
        <row r="28">
          <cell r="B28"/>
          <cell r="C28"/>
          <cell r="D28"/>
          <cell r="E28"/>
          <cell r="F28"/>
          <cell r="G28"/>
          <cell r="H28"/>
          <cell r="I28"/>
          <cell r="J28"/>
          <cell r="K28"/>
          <cell r="L28"/>
          <cell r="M28"/>
          <cell r="N28"/>
        </row>
        <row r="29">
          <cell r="B29"/>
          <cell r="C29"/>
          <cell r="D29"/>
          <cell r="E29"/>
          <cell r="F29"/>
          <cell r="G29"/>
          <cell r="H29"/>
          <cell r="I29"/>
          <cell r="J29"/>
          <cell r="K29"/>
          <cell r="L29"/>
          <cell r="M29"/>
          <cell r="N29"/>
        </row>
        <row r="30">
          <cell r="B30"/>
          <cell r="C30"/>
          <cell r="D30"/>
          <cell r="E30"/>
          <cell r="F30"/>
          <cell r="G30"/>
          <cell r="H30"/>
          <cell r="I30"/>
          <cell r="J30"/>
          <cell r="K30"/>
          <cell r="L30"/>
          <cell r="M30"/>
          <cell r="N30"/>
        </row>
        <row r="31">
          <cell r="B31"/>
          <cell r="C31"/>
          <cell r="D31"/>
          <cell r="E31"/>
          <cell r="F31"/>
          <cell r="G31"/>
          <cell r="H31"/>
          <cell r="I31"/>
          <cell r="J31"/>
          <cell r="K31"/>
          <cell r="L31"/>
          <cell r="M31"/>
          <cell r="N31"/>
        </row>
        <row r="32">
          <cell r="B32"/>
          <cell r="C32"/>
          <cell r="D32"/>
          <cell r="E32"/>
          <cell r="F32"/>
          <cell r="G32"/>
          <cell r="H32"/>
          <cell r="I32"/>
          <cell r="J32"/>
          <cell r="K32"/>
          <cell r="L32"/>
          <cell r="M32"/>
          <cell r="N32"/>
        </row>
        <row r="33">
          <cell r="B33"/>
          <cell r="C33"/>
          <cell r="D33"/>
          <cell r="E33"/>
          <cell r="F33"/>
          <cell r="G33"/>
          <cell r="H33"/>
          <cell r="I33"/>
          <cell r="J33"/>
          <cell r="K33"/>
          <cell r="L33"/>
          <cell r="M33"/>
          <cell r="N33"/>
        </row>
        <row r="34">
          <cell r="B34"/>
          <cell r="C34"/>
          <cell r="D34"/>
          <cell r="E34"/>
          <cell r="F34"/>
          <cell r="G34"/>
          <cell r="H34"/>
          <cell r="I34"/>
          <cell r="J34"/>
          <cell r="K34"/>
          <cell r="L34"/>
          <cell r="M34"/>
          <cell r="N34"/>
        </row>
        <row r="35">
          <cell r="B35"/>
          <cell r="C35"/>
          <cell r="D35"/>
          <cell r="E35"/>
          <cell r="F35"/>
          <cell r="G35"/>
          <cell r="H35"/>
          <cell r="I35"/>
          <cell r="J35"/>
          <cell r="K35"/>
          <cell r="L35"/>
          <cell r="M35"/>
          <cell r="N35"/>
        </row>
        <row r="36">
          <cell r="B36"/>
          <cell r="C36"/>
          <cell r="D36"/>
          <cell r="E36"/>
          <cell r="F36"/>
          <cell r="G36"/>
          <cell r="H36"/>
          <cell r="I36"/>
          <cell r="J36"/>
          <cell r="K36"/>
          <cell r="L36"/>
          <cell r="M36"/>
          <cell r="N36"/>
        </row>
        <row r="37">
          <cell r="B37"/>
          <cell r="C37"/>
          <cell r="D37"/>
          <cell r="E37"/>
          <cell r="F37"/>
          <cell r="G37"/>
          <cell r="H37"/>
          <cell r="I37"/>
          <cell r="J37"/>
          <cell r="K37"/>
          <cell r="L37"/>
          <cell r="M37"/>
          <cell r="N37"/>
        </row>
        <row r="38">
          <cell r="B38"/>
          <cell r="C38"/>
          <cell r="D38"/>
          <cell r="E38"/>
          <cell r="F38"/>
          <cell r="G38"/>
          <cell r="H38"/>
          <cell r="I38"/>
          <cell r="J38"/>
          <cell r="K38"/>
          <cell r="L38"/>
          <cell r="M38"/>
          <cell r="N38"/>
        </row>
        <row r="39">
          <cell r="B39"/>
          <cell r="C39"/>
          <cell r="D39"/>
          <cell r="E39"/>
          <cell r="F39"/>
          <cell r="G39"/>
          <cell r="H39"/>
          <cell r="I39"/>
          <cell r="J39"/>
          <cell r="K39"/>
          <cell r="L39"/>
          <cell r="M39"/>
          <cell r="N39"/>
        </row>
        <row r="40">
          <cell r="B40"/>
          <cell r="C40"/>
          <cell r="D40"/>
          <cell r="E40"/>
          <cell r="F40"/>
          <cell r="G40"/>
          <cell r="H40"/>
          <cell r="I40"/>
          <cell r="J40"/>
          <cell r="K40"/>
          <cell r="L40"/>
          <cell r="M40"/>
          <cell r="N40"/>
        </row>
        <row r="41">
          <cell r="B41"/>
          <cell r="C41"/>
          <cell r="D41"/>
          <cell r="E41"/>
          <cell r="F41"/>
          <cell r="G41"/>
          <cell r="H41"/>
          <cell r="I41"/>
          <cell r="J41"/>
          <cell r="K41"/>
          <cell r="L41"/>
          <cell r="M41"/>
          <cell r="N41"/>
        </row>
        <row r="42">
          <cell r="B42"/>
          <cell r="C42"/>
          <cell r="D42"/>
          <cell r="E42"/>
          <cell r="F42"/>
          <cell r="G42"/>
          <cell r="H42"/>
          <cell r="I42"/>
          <cell r="J42"/>
          <cell r="K42"/>
          <cell r="L42"/>
          <cell r="M42"/>
          <cell r="N42"/>
        </row>
        <row r="43">
          <cell r="B43"/>
          <cell r="C43"/>
          <cell r="D43"/>
          <cell r="E43"/>
          <cell r="F43"/>
          <cell r="G43"/>
          <cell r="H43"/>
          <cell r="I43"/>
          <cell r="J43"/>
          <cell r="K43"/>
          <cell r="L43"/>
          <cell r="M43"/>
          <cell r="N43"/>
        </row>
        <row r="44">
          <cell r="B44"/>
          <cell r="C44"/>
          <cell r="D44"/>
          <cell r="E44"/>
          <cell r="F44"/>
          <cell r="G44"/>
          <cell r="H44"/>
          <cell r="I44"/>
          <cell r="J44"/>
          <cell r="K44"/>
          <cell r="L44"/>
          <cell r="M44"/>
          <cell r="N44"/>
        </row>
      </sheetData>
      <sheetData sheetId="2">
        <row r="6">
          <cell r="B6" t="str">
            <v>John Smith</v>
          </cell>
          <cell r="C6" t="str">
            <v>A Study of Renewable Energy Sources</v>
          </cell>
          <cell r="D6">
            <v>45570</v>
          </cell>
        </row>
        <row r="7">
          <cell r="B7"/>
          <cell r="C7"/>
          <cell r="D7"/>
        </row>
        <row r="8">
          <cell r="B8"/>
          <cell r="C8"/>
          <cell r="D8"/>
        </row>
        <row r="9">
          <cell r="B9"/>
          <cell r="C9"/>
          <cell r="D9"/>
        </row>
        <row r="10">
          <cell r="B10"/>
          <cell r="C10"/>
          <cell r="D10"/>
        </row>
        <row r="11">
          <cell r="B11"/>
          <cell r="C11"/>
          <cell r="D11"/>
        </row>
        <row r="12">
          <cell r="B12"/>
          <cell r="C12"/>
          <cell r="D12"/>
        </row>
        <row r="13">
          <cell r="B13"/>
          <cell r="C13"/>
          <cell r="D13"/>
        </row>
        <row r="14">
          <cell r="B14"/>
          <cell r="C14"/>
          <cell r="D14"/>
        </row>
        <row r="15">
          <cell r="B15"/>
          <cell r="C15"/>
          <cell r="D15"/>
        </row>
        <row r="16">
          <cell r="B16"/>
          <cell r="C16"/>
          <cell r="D16"/>
        </row>
        <row r="17">
          <cell r="B17"/>
          <cell r="C17"/>
          <cell r="D17"/>
        </row>
        <row r="18">
          <cell r="B18"/>
          <cell r="C18"/>
          <cell r="D18"/>
        </row>
        <row r="19">
          <cell r="B19"/>
          <cell r="C19"/>
          <cell r="D19"/>
        </row>
        <row r="20">
          <cell r="B20"/>
          <cell r="C20"/>
          <cell r="D20"/>
        </row>
        <row r="21">
          <cell r="B21"/>
          <cell r="C21"/>
          <cell r="D21"/>
        </row>
        <row r="22">
          <cell r="B22"/>
          <cell r="C22"/>
          <cell r="D22"/>
        </row>
        <row r="23">
          <cell r="B23"/>
          <cell r="C23"/>
          <cell r="D23"/>
        </row>
        <row r="24">
          <cell r="B24"/>
          <cell r="C24"/>
          <cell r="D24"/>
        </row>
        <row r="25">
          <cell r="B25"/>
          <cell r="C25"/>
          <cell r="D25"/>
        </row>
        <row r="26">
          <cell r="B26"/>
          <cell r="C26"/>
          <cell r="D26"/>
        </row>
        <row r="27">
          <cell r="B27"/>
          <cell r="C27"/>
          <cell r="D27"/>
        </row>
        <row r="28">
          <cell r="B28"/>
          <cell r="C28"/>
          <cell r="D28"/>
        </row>
        <row r="29">
          <cell r="B29"/>
          <cell r="C29"/>
          <cell r="D29"/>
        </row>
        <row r="30">
          <cell r="B30"/>
          <cell r="C30"/>
          <cell r="D30"/>
        </row>
        <row r="31">
          <cell r="B31"/>
          <cell r="C31"/>
          <cell r="D31"/>
        </row>
        <row r="32">
          <cell r="B32"/>
          <cell r="C32"/>
          <cell r="D32"/>
        </row>
        <row r="33">
          <cell r="B33"/>
          <cell r="C33"/>
          <cell r="D33"/>
        </row>
        <row r="34">
          <cell r="B34"/>
          <cell r="C34"/>
          <cell r="D34"/>
        </row>
        <row r="35">
          <cell r="B35"/>
          <cell r="C35"/>
          <cell r="D35"/>
        </row>
        <row r="36">
          <cell r="B36"/>
          <cell r="C36"/>
          <cell r="D36"/>
        </row>
        <row r="37">
          <cell r="B37"/>
          <cell r="C37"/>
          <cell r="D37"/>
        </row>
        <row r="38">
          <cell r="B38"/>
          <cell r="C38"/>
          <cell r="D38"/>
        </row>
        <row r="39">
          <cell r="B39"/>
          <cell r="C39"/>
          <cell r="D39"/>
        </row>
        <row r="40">
          <cell r="B40"/>
          <cell r="C40"/>
          <cell r="D40"/>
        </row>
        <row r="41">
          <cell r="B41"/>
          <cell r="C41"/>
          <cell r="D41"/>
        </row>
        <row r="42">
          <cell r="B42"/>
          <cell r="C42"/>
          <cell r="D42"/>
        </row>
        <row r="43">
          <cell r="B43"/>
          <cell r="C43"/>
          <cell r="D43"/>
        </row>
        <row r="44">
          <cell r="B44"/>
          <cell r="C44"/>
          <cell r="D44"/>
        </row>
      </sheetData>
      <sheetData sheetId="3">
        <row r="6">
          <cell r="B6" t="str">
            <v>John Smith</v>
          </cell>
          <cell r="C6" t="str">
            <v>ST2024 - 01</v>
          </cell>
          <cell r="D6" t="str">
            <v>9th - Grade</v>
          </cell>
          <cell r="E6" t="str">
            <v>Ms. Jane Smith</v>
          </cell>
        </row>
        <row r="7">
          <cell r="B7"/>
          <cell r="C7" t="str">
            <v/>
          </cell>
          <cell r="D7"/>
          <cell r="E7"/>
        </row>
        <row r="8">
          <cell r="B8"/>
          <cell r="C8" t="str">
            <v/>
          </cell>
          <cell r="D8"/>
          <cell r="E8"/>
        </row>
        <row r="9">
          <cell r="B9"/>
          <cell r="C9" t="str">
            <v/>
          </cell>
          <cell r="D9"/>
          <cell r="E9"/>
        </row>
        <row r="10">
          <cell r="B10"/>
          <cell r="C10" t="str">
            <v/>
          </cell>
          <cell r="D10"/>
          <cell r="E10"/>
        </row>
        <row r="11">
          <cell r="B11"/>
          <cell r="C11" t="str">
            <v/>
          </cell>
          <cell r="D11"/>
          <cell r="E11"/>
        </row>
        <row r="12">
          <cell r="B12"/>
          <cell r="C12" t="str">
            <v/>
          </cell>
          <cell r="D12"/>
          <cell r="E12"/>
        </row>
        <row r="13">
          <cell r="B13"/>
          <cell r="C13" t="str">
            <v/>
          </cell>
          <cell r="D13"/>
          <cell r="E13"/>
        </row>
        <row r="14">
          <cell r="B14"/>
          <cell r="C14" t="str">
            <v/>
          </cell>
          <cell r="D14"/>
          <cell r="E14"/>
        </row>
        <row r="15">
          <cell r="B15"/>
          <cell r="C15" t="str">
            <v/>
          </cell>
          <cell r="D15"/>
          <cell r="E15"/>
        </row>
        <row r="16">
          <cell r="B16"/>
          <cell r="C16" t="str">
            <v/>
          </cell>
          <cell r="D16"/>
          <cell r="E16"/>
        </row>
        <row r="17">
          <cell r="B17"/>
          <cell r="C17" t="str">
            <v/>
          </cell>
          <cell r="D17"/>
          <cell r="E17"/>
        </row>
        <row r="18">
          <cell r="B18"/>
          <cell r="C18" t="str">
            <v/>
          </cell>
          <cell r="D18"/>
          <cell r="E18"/>
        </row>
        <row r="19">
          <cell r="B19"/>
          <cell r="C19" t="str">
            <v/>
          </cell>
          <cell r="D19"/>
          <cell r="E19"/>
        </row>
        <row r="20">
          <cell r="B20"/>
          <cell r="C20" t="str">
            <v/>
          </cell>
          <cell r="D20"/>
          <cell r="E20"/>
        </row>
        <row r="21">
          <cell r="B21"/>
          <cell r="C21" t="str">
            <v/>
          </cell>
          <cell r="D21"/>
          <cell r="E21"/>
        </row>
        <row r="22">
          <cell r="B22"/>
          <cell r="C22" t="str">
            <v/>
          </cell>
          <cell r="D22"/>
          <cell r="E22"/>
        </row>
        <row r="23">
          <cell r="B23"/>
          <cell r="C23" t="str">
            <v/>
          </cell>
          <cell r="D23"/>
          <cell r="E23"/>
        </row>
        <row r="24">
          <cell r="B24"/>
          <cell r="C24" t="str">
            <v/>
          </cell>
          <cell r="D24"/>
          <cell r="E24"/>
        </row>
        <row r="25">
          <cell r="B25"/>
          <cell r="C25" t="str">
            <v/>
          </cell>
          <cell r="D25"/>
          <cell r="E25"/>
        </row>
        <row r="26">
          <cell r="B26"/>
          <cell r="C26" t="str">
            <v/>
          </cell>
          <cell r="D26"/>
          <cell r="E26"/>
        </row>
        <row r="27">
          <cell r="B27"/>
          <cell r="C27" t="str">
            <v/>
          </cell>
          <cell r="D27"/>
          <cell r="E27"/>
        </row>
        <row r="28">
          <cell r="B28"/>
          <cell r="C28" t="str">
            <v/>
          </cell>
          <cell r="D28"/>
          <cell r="E28"/>
        </row>
        <row r="29">
          <cell r="B29"/>
          <cell r="C29" t="str">
            <v/>
          </cell>
          <cell r="D29"/>
          <cell r="E29"/>
        </row>
        <row r="30">
          <cell r="B30"/>
          <cell r="C30" t="str">
            <v/>
          </cell>
          <cell r="D30"/>
          <cell r="E30"/>
        </row>
        <row r="31">
          <cell r="B31"/>
          <cell r="C31" t="str">
            <v/>
          </cell>
          <cell r="D31"/>
          <cell r="E31"/>
        </row>
        <row r="32">
          <cell r="B32"/>
          <cell r="C32" t="str">
            <v/>
          </cell>
          <cell r="D32"/>
          <cell r="E32"/>
        </row>
        <row r="33">
          <cell r="B33"/>
          <cell r="C33" t="str">
            <v/>
          </cell>
          <cell r="D33"/>
          <cell r="E33"/>
        </row>
        <row r="34">
          <cell r="B34"/>
          <cell r="C34" t="str">
            <v/>
          </cell>
          <cell r="D34"/>
          <cell r="E34"/>
        </row>
        <row r="35">
          <cell r="B35"/>
          <cell r="C35" t="str">
            <v/>
          </cell>
          <cell r="D35"/>
          <cell r="E35"/>
        </row>
        <row r="36">
          <cell r="B36"/>
          <cell r="C36" t="str">
            <v/>
          </cell>
          <cell r="D36"/>
          <cell r="E36"/>
        </row>
        <row r="37">
          <cell r="B37"/>
          <cell r="C37" t="str">
            <v/>
          </cell>
          <cell r="D37"/>
          <cell r="E37"/>
        </row>
        <row r="38">
          <cell r="B38"/>
          <cell r="C38" t="str">
            <v/>
          </cell>
          <cell r="D38"/>
          <cell r="E38"/>
        </row>
        <row r="39">
          <cell r="B39"/>
          <cell r="C39" t="str">
            <v/>
          </cell>
          <cell r="D39"/>
          <cell r="E39"/>
        </row>
        <row r="40">
          <cell r="B40"/>
          <cell r="C40" t="str">
            <v/>
          </cell>
          <cell r="D40"/>
          <cell r="E40"/>
        </row>
        <row r="41">
          <cell r="B41"/>
          <cell r="C41" t="str">
            <v/>
          </cell>
          <cell r="D41"/>
          <cell r="E41"/>
        </row>
        <row r="42">
          <cell r="B42"/>
          <cell r="C42" t="str">
            <v/>
          </cell>
          <cell r="D42"/>
          <cell r="E42"/>
        </row>
        <row r="43">
          <cell r="B43"/>
          <cell r="C43" t="str">
            <v/>
          </cell>
          <cell r="D43"/>
          <cell r="E43"/>
        </row>
        <row r="44">
          <cell r="B44"/>
          <cell r="C44" t="str">
            <v/>
          </cell>
          <cell r="D44"/>
          <cell r="E44"/>
        </row>
      </sheetData>
      <sheetData sheetId="4"/>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F966ED-D5AE-E74F-8391-AE937B7C18EF}" name="Table46" displayName="Table46" ref="B8:H13" totalsRowShown="0" headerRowDxfId="86" dataDxfId="85">
  <autoFilter ref="B8:H13" xr:uid="{4DAAC4A5-9D70-FD47-9C72-83C01215D399}"/>
  <tableColumns count="7">
    <tableColumn id="1" xr3:uid="{E0EA7F3E-9C83-724B-BAEE-892845E7A892}" name=" " dataDxfId="84"/>
    <tableColumn id="2" xr3:uid="{588C21B4-ED30-8942-A6AA-C808D828AD5E}" name="Nivel 0: Inexistente – ad hoc" dataDxfId="83"/>
    <tableColumn id="3" xr3:uid="{EBBEC981-46A7-7740-BD8B-9D489652C916}" name="Nivel 1: Inicial – reactivo" dataDxfId="82"/>
    <tableColumn id="4" xr3:uid="{F49D3D8B-04E2-C242-859B-CFAB8EB7A0C5}" name="Nivel 2:Desarrollando ­ emergente disciplina" dataDxfId="81"/>
    <tableColumn id="5" xr3:uid="{89562D26-B357-5B45-AECA-F718DE65442F}" name="Nivel 3:Definido – inicial integración" dataDxfId="80"/>
    <tableColumn id="6" xr3:uid="{192FBBF4-BA20-4D40-83DB-DAF1DA266134}" name="Nivel 4: Administrado ­ creciente eficiencia" dataDxfId="79"/>
    <tableColumn id="7" xr3:uid="{8DC84095-DCB1-384B-B4FF-391611E3FF7E}" name="Nivel 5: Optimizado – orientación empresarial" dataDxfId="7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2A3120-FD99-184A-ACFC-75E637CD1546}" name="Table6" displayName="Table6" ref="C6:G7" totalsRowShown="0" headerRowDxfId="77" dataDxfId="76">
  <autoFilter ref="C6:G7" xr:uid="{7E2A3120-FD99-184A-ACFC-75E637CD1546}"/>
  <tableColumns count="5">
    <tableColumn id="1" xr3:uid="{1C481462-75BB-E542-B7B2-85F770019540}" name="Nivel 1: Proceso Inicial" dataDxfId="75"/>
    <tableColumn id="2" xr3:uid="{FB681333-C4ED-584E-8E50-826DA38F5514}" name="Nivel 2: Proceso estructurado y estándares" dataDxfId="74"/>
    <tableColumn id="3" xr3:uid="{067354CD-3314-7E46-985C-E8DBE6D2BD5D}" name="Nivel 3: Estándares Organizacionales y Proceso Institucionalizado" dataDxfId="73"/>
    <tableColumn id="4" xr3:uid="{55BEBE70-44AB-4E4D-9DFD-BC5BCB5F3633}" name="Nivel 4: Proceso Gestionado" dataDxfId="72"/>
    <tableColumn id="5" xr3:uid="{A2B620FF-4998-F246-A5D6-B6ABBF955177}" name="Nivel 5: Optimización del proceso" dataDxfId="7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AAC4A5-9D70-FD47-9C72-83C01215D399}" name="Table4" displayName="Table4" ref="B8:H13" totalsRowShown="0" headerRowDxfId="70" dataDxfId="69">
  <autoFilter ref="B8:H13" xr:uid="{4DAAC4A5-9D70-FD47-9C72-83C01215D399}"/>
  <tableColumns count="7">
    <tableColumn id="1" xr3:uid="{BBE46D4D-DFD1-2D49-837D-4767571C1DB7}" name=" " dataDxfId="68"/>
    <tableColumn id="2" xr3:uid="{95240B5A-A6D1-F64C-A2F1-6832FEEB8D66}" name="Nivel 0: Inexistente – ad hoc" dataDxfId="67"/>
    <tableColumn id="3" xr3:uid="{009D194F-8889-584B-9213-DAEC5AC90E8B}" name="Nivel 1: Inicial – reactivo" dataDxfId="66"/>
    <tableColumn id="4" xr3:uid="{19D0684C-4F03-3C42-9DB8-8CC9FD264CE2}" name="Nivel 2:Desarrollando ­ emergente disciplina" dataDxfId="65"/>
    <tableColumn id="5" xr3:uid="{F29AAEED-D3DA-994C-ADBB-9C7971D47919}" name="Nivel 3:Definido – inicial integración" dataDxfId="64"/>
    <tableColumn id="6" xr3:uid="{DDFC3DDE-6667-7945-8C9C-2B98EC26F4D7}" name="Nivel 4: Administrado ­ creciente eficiencia" dataDxfId="63"/>
    <tableColumn id="7" xr3:uid="{89481D16-236B-434E-9D5D-A726B644894F}" name="Nivel 5: Optimizado – orientación empresarial" dataDxfId="6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eForms.Table" displayName="OfficeForms.Table" ref="A2:AV106" totalsRowShown="0" headerRowDxfId="61">
  <autoFilter ref="A2:AV106" xr:uid="{00000000-0009-0000-0100-000001000000}"/>
  <sortState xmlns:xlrd2="http://schemas.microsoft.com/office/spreadsheetml/2017/richdata2" ref="A3:AV106">
    <sortCondition ref="A3:A106"/>
  </sortState>
  <tableColumns count="48">
    <tableColumn id="86" xr3:uid="{8174468A-73B5-6B4F-981E-835723F910AA}" name="ID " dataDxfId="60">
      <calculatedColumnFormula>RAND()</calculatedColumnFormula>
    </tableColumn>
    <tableColumn id="6" xr3:uid="{00000000-0010-0000-0000-000006000000}" name="Genero" dataDxfId="59">
      <extLst>
        <ext xmlns:xlmsforms="http://schemas.microsoft.com/office/spreadsheetml/2023/msForms" uri="{FCC71383-01E1-4257-9335-427F07BE8D7F}">
          <xlmsforms:question id="r006f5b8b55db4fe8a87f88be7a1616cc"/>
        </ext>
      </extLst>
    </tableColumn>
    <tableColumn id="7" xr3:uid="{00000000-0010-0000-0000-000007000000}" name="Edad" dataDxfId="58">
      <extLst>
        <ext xmlns:xlmsforms="http://schemas.microsoft.com/office/spreadsheetml/2023/msForms" uri="{FCC71383-01E1-4257-9335-427F07BE8D7F}">
          <xlmsforms:question id="re05c23325caa406fbcca67a65b7ec1c5"/>
        </ext>
      </extLst>
    </tableColumn>
    <tableColumn id="9" xr3:uid="{00000000-0010-0000-0000-000009000000}" name="Nivel Educativo_x000a_      " dataDxfId="57">
      <extLst>
        <ext xmlns:xlmsforms="http://schemas.microsoft.com/office/spreadsheetml/2023/msForms" uri="{FCC71383-01E1-4257-9335-427F07BE8D7F}">
          <xlmsforms:question id="r1218b04bfb914c588f0dd8b9e92fa924"/>
        </ext>
      </extLst>
    </tableColumn>
    <tableColumn id="10" xr3:uid="{00000000-0010-0000-0000-00000A000000}" name="Experiencia PMO" dataDxfId="56">
      <extLst>
        <ext xmlns:xlmsforms="http://schemas.microsoft.com/office/spreadsheetml/2023/msForms" uri="{FCC71383-01E1-4257-9335-427F07BE8D7F}">
          <xlmsforms:question id="r511a09110d534338b6af7e477db4b7bb"/>
        </ext>
      </extLst>
    </tableColumn>
    <tableColumn id="11" xr3:uid="{00000000-0010-0000-0000-00000B000000}" name="PMO Dependiente de" dataDxfId="55">
      <extLst>
        <ext xmlns:xlmsforms="http://schemas.microsoft.com/office/spreadsheetml/2023/msForms" uri="{FCC71383-01E1-4257-9335-427F07BE8D7F}">
          <xlmsforms:question id="r94e200da7ac34ecc89b33c1c4e195e78"/>
        </ext>
      </extLst>
    </tableColumn>
    <tableColumn id="13" xr3:uid="{00000000-0010-0000-0000-00000D000000}" name="Area de la Organización " dataDxfId="54">
      <extLst>
        <ext xmlns:xlmsforms="http://schemas.microsoft.com/office/spreadsheetml/2023/msForms" uri="{FCC71383-01E1-4257-9335-427F07BE8D7F}">
          <xlmsforms:question id="rdfffe0978a9947209619e4d8b3f5a63a"/>
        </ext>
      </extLst>
    </tableColumn>
    <tableColumn id="53" xr3:uid="{A476CA39-F335-4FC1-B39E-A7ABE5D2FE20}" name="Estado actual transformación digital en organización" dataDxfId="53">
      <extLst>
        <ext xmlns:xlmsforms="http://schemas.microsoft.com/office/spreadsheetml/2023/msForms" uri="{FCC71383-01E1-4257-9335-427F07BE8D7F}">
          <xlmsforms:question id="r187464d2f07246db8636d3ed5753d7b7"/>
        </ext>
      </extLst>
    </tableColumn>
    <tableColumn id="59" xr3:uid="{E6CE93C9-43F1-44A6-B5AC-7928109FA120}" name="¿Quién es el responsable principal de liderar la transformación digital ?" dataDxfId="52">
      <extLst>
        <ext xmlns:xlmsforms="http://schemas.microsoft.com/office/spreadsheetml/2023/msForms" uri="{FCC71383-01E1-4257-9335-427F07BE8D7F}">
          <xlmsforms:question id="r2f5fddfdf83e4812a6c6005f515c019e"/>
        </ext>
      </extLst>
    </tableColumn>
    <tableColumn id="61" xr3:uid="{CFA66553-039A-42E8-9A62-FC39D6E40BDF}" name="Desafios Organizacion Transformacion Digital" dataDxfId="51">
      <extLst>
        <ext xmlns:xlmsforms="http://schemas.microsoft.com/office/spreadsheetml/2023/msForms" uri="{FCC71383-01E1-4257-9335-427F07BE8D7F}">
          <xlmsforms:question id="r1cefce9b52434787a4cccb5932e75c74"/>
        </ext>
      </extLst>
    </tableColumn>
    <tableColumn id="66" xr3:uid="{ECDBE328-3684-4077-AEB5-046ACDB45800}" name="Nivel de satifsfaccion segun colaboración entre IT y otros dptos. Digitales" dataDxfId="50">
      <extLst>
        <ext xmlns:xlmsforms="http://schemas.microsoft.com/office/spreadsheetml/2023/msForms" uri="{FCC71383-01E1-4257-9335-427F07BE8D7F}">
          <xlmsforms:question id="rf10adf3d0ec04743a396eb2cd007fe3d"/>
        </ext>
      </extLst>
    </tableColumn>
    <tableColumn id="67" xr3:uid="{6B07516C-7CF4-46C4-BD8F-D27D7D76A52F}" name="Organizacion: visión clara sobre futuro estrategia en  transformación digital" dataDxfId="49">
      <extLst>
        <ext xmlns:xlmsforms="http://schemas.microsoft.com/office/spreadsheetml/2023/msForms" uri="{FCC71383-01E1-4257-9335-427F07BE8D7F}">
          <xlmsforms:question id="rf32f6740abb14bd4975305115dbf6888"/>
        </ext>
      </extLst>
    </tableColumn>
    <tableColumn id="68" xr3:uid="{D68ABAF3-9F82-4351-817C-6A29B9A78F31}" name="estrategia alienada entre  transformación digital y objetivos  de la organización" dataDxfId="48">
      <extLst>
        <ext xmlns:xlmsforms="http://schemas.microsoft.com/office/spreadsheetml/2023/msForms" uri="{FCC71383-01E1-4257-9335-427F07BE8D7F}">
          <xlmsforms:question id="ree4a1ca4d14946e49c5e27dd4c9e86be"/>
        </ext>
      </extLst>
    </tableColumn>
    <tableColumn id="83" xr3:uid="{04899259-54C1-4BB3-B125-1B355120C005}" name="Gestión del alcance " dataDxfId="47">
      <extLst>
        <ext xmlns:xlmsforms="http://schemas.microsoft.com/office/spreadsheetml/2023/msForms" uri="{FCC71383-01E1-4257-9335-427F07BE8D7F}">
          <xlmsforms:question id="r06b8d60ddeac4bbb892c57fcad32cb9b"/>
        </ext>
      </extLst>
    </tableColumn>
    <tableColumn id="70" xr3:uid="{0BE4F66D-ABC9-4549-8C85-F78C7DC92C86}" name="Gestión de la integración " dataDxfId="46">
      <extLst>
        <ext xmlns:xlmsforms="http://schemas.microsoft.com/office/spreadsheetml/2023/msForms" uri="{FCC71383-01E1-4257-9335-427F07BE8D7F}">
          <xlmsforms:question id="re6b2904a39474b4dada9db605aef1d6b"/>
        </ext>
      </extLst>
    </tableColumn>
    <tableColumn id="71" xr3:uid="{582E9F03-E51A-4900-9F70-E6339EAEB219}" name="Gestión del tiempo " dataDxfId="45">
      <extLst>
        <ext xmlns:xlmsforms="http://schemas.microsoft.com/office/spreadsheetml/2023/msForms" uri="{FCC71383-01E1-4257-9335-427F07BE8D7F}">
          <xlmsforms:question id="r7a028e5bd0614a7588b21afbed360de5"/>
        </ext>
      </extLst>
    </tableColumn>
    <tableColumn id="72" xr3:uid="{706335A2-DDA1-4C50-8F05-68615D020C4B}" name="Gestión del presupuesto " dataDxfId="44">
      <extLst>
        <ext xmlns:xlmsforms="http://schemas.microsoft.com/office/spreadsheetml/2023/msForms" uri="{FCC71383-01E1-4257-9335-427F07BE8D7F}">
          <xlmsforms:question id="rc439111eb18f40baa9014e96d7997dba"/>
        </ext>
      </extLst>
    </tableColumn>
    <tableColumn id="73" xr3:uid="{0BAFB68B-D800-41A8-B4FD-E2E62003A34E}" name="Gestión de la calidad " dataDxfId="43">
      <extLst>
        <ext xmlns:xlmsforms="http://schemas.microsoft.com/office/spreadsheetml/2023/msForms" uri="{FCC71383-01E1-4257-9335-427F07BE8D7F}">
          <xlmsforms:question id="rbab68473baa540d2876dedff11cb3de2"/>
        </ext>
      </extLst>
    </tableColumn>
    <tableColumn id="74" xr3:uid="{0A9548E0-DC9C-41F0-876B-7CD0688D5CB5}" name="Gestión de recursos humaños " dataDxfId="42">
      <extLst>
        <ext xmlns:xlmsforms="http://schemas.microsoft.com/office/spreadsheetml/2023/msForms" uri="{FCC71383-01E1-4257-9335-427F07BE8D7F}">
          <xlmsforms:question id="rf782d8aaae78469a8b12950dea477241"/>
        </ext>
      </extLst>
    </tableColumn>
    <tableColumn id="75" xr3:uid="{95528DA7-AF38-436B-B0C4-D5290FFB65F6}" name="Gestión de la comunicación " dataDxfId="41">
      <extLst>
        <ext xmlns:xlmsforms="http://schemas.microsoft.com/office/spreadsheetml/2023/msForms" uri="{FCC71383-01E1-4257-9335-427F07BE8D7F}">
          <xlmsforms:question id="ra7cbb6a1fc1b4c8a985b6639850404ba"/>
        </ext>
      </extLst>
    </tableColumn>
    <tableColumn id="76" xr3:uid="{10A08C43-2215-439F-8831-FF5AB7792649}" name="Gestión de riesgos " dataDxfId="40">
      <extLst>
        <ext xmlns:xlmsforms="http://schemas.microsoft.com/office/spreadsheetml/2023/msForms" uri="{FCC71383-01E1-4257-9335-427F07BE8D7F}">
          <xlmsforms:question id="r9ef04d1d4ebd4c2d919c847e25aa1303"/>
        </ext>
      </extLst>
    </tableColumn>
    <tableColumn id="77" xr3:uid="{F99C9F9B-9DF9-4CED-9261-4101CB2A9759}" name="Gestión de compra " dataDxfId="39">
      <extLst>
        <ext xmlns:xlmsforms="http://schemas.microsoft.com/office/spreadsheetml/2023/msForms" uri="{FCC71383-01E1-4257-9335-427F07BE8D7F}">
          <xlmsforms:question id="rb20de8ecb7d74c2086a958c157e449fa"/>
        </ext>
      </extLst>
    </tableColumn>
    <tableColumn id="87" xr3:uid="{F603099D-3CF0-454C-B80F-5AA34ED66786}" name="Organizacion - Nivel Madurez - Modelo Areas de Conocimiento PMI" dataDxfId="38">
      <calculatedColumnFormula array="1">SUM(OfficeForms.Table[[#This Row],[Gestión del alcance ]:[Gestión de compra ]]/9)</calculatedColumnFormula>
    </tableColumn>
    <tableColumn id="78" xr3:uid="{FDD0203B-37AF-46CD-A8BA-DFB6297B0435}" name="Personas" dataDxfId="37">
      <extLst>
        <ext xmlns:xlmsforms="http://schemas.microsoft.com/office/spreadsheetml/2023/msForms" uri="{FCC71383-01E1-4257-9335-427F07BE8D7F}">
          <xlmsforms:question id="rf0556135c63e4077bdd929e7cdf4436e"/>
        </ext>
      </extLst>
    </tableColumn>
    <tableColumn id="79" xr3:uid="{B38112C0-3DD6-46E9-834D-44DDD1B221C5}" name="Procesos PPM" dataDxfId="36">
      <extLst>
        <ext xmlns:xlmsforms="http://schemas.microsoft.com/office/spreadsheetml/2023/msForms" uri="{FCC71383-01E1-4257-9335-427F07BE8D7F}">
          <xlmsforms:question id="r59b73ccb7611404e9a6af0afe4213a4b"/>
        </ext>
      </extLst>
    </tableColumn>
    <tableColumn id="80" xr3:uid="{26F71A5C-FD9A-40D4-9D32-93657F892F4D}" name="Tecnología" dataDxfId="35">
      <extLst>
        <ext xmlns:xlmsforms="http://schemas.microsoft.com/office/spreadsheetml/2023/msForms" uri="{FCC71383-01E1-4257-9335-427F07BE8D7F}">
          <xlmsforms:question id="r7c19ad3b53f0472886c645729d40c898"/>
        </ext>
      </extLst>
    </tableColumn>
    <tableColumn id="81" xr3:uid="{5E2673A8-52B8-4312-80C3-0ACF97279192}" name="Gestión Financiera" dataDxfId="34">
      <extLst>
        <ext xmlns:xlmsforms="http://schemas.microsoft.com/office/spreadsheetml/2023/msForms" uri="{FCC71383-01E1-4257-9335-427F07BE8D7F}">
          <xlmsforms:question id="r2c6f5c813079418f9dc65155aa6ef196"/>
        </ext>
      </extLst>
    </tableColumn>
    <tableColumn id="82" xr3:uid="{CF4FD212-21FD-4CE4-A281-0CD4168A9E66}" name="Relaciones" dataDxfId="33">
      <extLst>
        <ext xmlns:xlmsforms="http://schemas.microsoft.com/office/spreadsheetml/2023/msForms" uri="{FCC71383-01E1-4257-9335-427F07BE8D7F}">
          <xlmsforms:question id="r661d6b6f026d42f29067565d926e0559"/>
        </ext>
      </extLst>
    </tableColumn>
    <tableColumn id="84" xr3:uid="{8D6275AB-E10C-8046-B3E1-0062F8898CFE}" name="Organizacion - Nivel Madurez  - Modelo Gartner" dataDxfId="32">
      <calculatedColumnFormula array="1">SUM(OfficeForms.Table[[#This Row],[Personas]:[Relaciones]]/5)</calculatedColumnFormula>
    </tableColumn>
    <tableColumn id="48" xr3:uid="{8F8C8A62-3284-4E26-ABE9-092F27D7E062}" name="Función Estratégica.Proporcionar asesoramiento a la alta dirección" dataDxfId="31">
      <extLst>
        <ext xmlns:xlmsforms="http://schemas.microsoft.com/office/spreadsheetml/2023/msForms" uri="{FCC71383-01E1-4257-9335-427F07BE8D7F}">
          <xlmsforms:question id="rc17492892b0d4b78a60e34c4ed17452e"/>
        </ext>
      </extLst>
    </tableColumn>
    <tableColumn id="49" xr3:uid="{EBA98E62-06AF-4CD2-8DF3-CB3CE02FBAAE}" name="Función Estratégica. Coordinar / integrar / priorizar los proyectos en el portafolio." dataDxfId="30">
      <extLst>
        <ext xmlns:xlmsforms="http://schemas.microsoft.com/office/spreadsheetml/2023/msForms" uri="{FCC71383-01E1-4257-9335-427F07BE8D7F}">
          <xlmsforms:question id="rb97dd254937d405dba8ead3b7d9cdfc2"/>
        </ext>
      </extLst>
    </tableColumn>
    <tableColumn id="19" xr3:uid="{D265A2DF-9032-4237-A726-0CF12B67135D}" name="Función Estratégica. Implementación de la evaluación de proyectos y gestión de los beneficios del programa." dataDxfId="29">
      <extLst>
        <ext xmlns:xlmsforms="http://schemas.microsoft.com/office/spreadsheetml/2023/msForms" uri="{FCC71383-01E1-4257-9335-427F07BE8D7F}">
          <xlmsforms:question id="r1dbd5cc693374183b7ee44d4494d05bd"/>
        </ext>
      </extLst>
    </tableColumn>
    <tableColumn id="50" xr3:uid="{507A6488-826D-4DE9-AC52-47A7D6539FCC}" name="Función Estratégica. Promover la gestión de proyectos dentro de la organización." dataDxfId="28">
      <extLst>
        <ext xmlns:xlmsforms="http://schemas.microsoft.com/office/spreadsheetml/2023/msForms" uri="{FCC71383-01E1-4257-9335-427F07BE8D7F}">
          <xlmsforms:question id="r0fcbdb3a192e42be8a15c1c223703901"/>
        </ext>
      </extLst>
    </tableColumn>
    <tableColumn id="51" xr3:uid="{0C5C8E55-4A5F-4929-9EDD-9EE763205594}" name="Función Estratégica.Supervisar y controlar el desempeño de la propia PMO." dataDxfId="27">
      <extLst>
        <ext xmlns:xlmsforms="http://schemas.microsoft.com/office/spreadsheetml/2023/msForms" uri="{FCC71383-01E1-4257-9335-427F07BE8D7F}">
          <xlmsforms:question id="r1aaaf4a3a8374f0993061f038c4968a8"/>
        </ext>
      </extLst>
    </tableColumn>
    <tableColumn id="85" xr3:uid="{BC2481C3-8C05-2D4E-9130-40D7BF82EF98}" name="At strategic level, What is the role of the PMO?.Monitor and control the performance of the PMO itself 2"/>
    <tableColumn id="88" xr3:uid="{76358BC8-12FD-4E49-89C3-1ACBA3E8FEC2}" name="PMO - Nivel Función Estratégica" dataDxfId="26">
      <calculatedColumnFormula array="1">SUM(OfficeForms.Table[[#This Row],[Función Estratégica.Proporcionar asesoramiento a la alta dirección]:[Función Estratégica.Supervisar y controlar el desempeño de la propia PMO.]]/5)</calculatedColumnFormula>
    </tableColumn>
    <tableColumn id="21" xr3:uid="{00000000-0010-0000-0000-000015000000}" name="Función Táctica. Desarrollar e implementar una metodología estándar de gestión de proyectos." dataDxfId="25">
      <extLst>
        <ext xmlns:xlmsforms="http://schemas.microsoft.com/office/spreadsheetml/2023/msForms" uri="{FCC71383-01E1-4257-9335-427F07BE8D7F}">
          <xlmsforms:question id="rb41b25ad08214c318896331c06603e7c"/>
        </ext>
      </extLst>
    </tableColumn>
    <tableColumn id="22" xr3:uid="{00000000-0010-0000-0000-000016000000}" name="Función Táctica. Desarrollar las competencias  los profesionales, incluida la formación." dataDxfId="24">
      <extLst>
        <ext xmlns:xlmsforms="http://schemas.microsoft.com/office/spreadsheetml/2023/msForms" uri="{FCC71383-01E1-4257-9335-427F07BE8D7F}">
          <xlmsforms:question id="r5fd18a1cdb6c4ca9add9499fe72c16ff"/>
        </ext>
      </extLst>
    </tableColumn>
    <tableColumn id="23" xr3:uid="{00000000-0010-0000-0000-000017000000}" name="Función Táctica. Implementar y operar sistemas de iIT en la gestión de proyectos." dataDxfId="23">
      <extLst>
        <ext xmlns:xlmsforms="http://schemas.microsoft.com/office/spreadsheetml/2023/msForms" uri="{FCC71383-01E1-4257-9335-427F07BE8D7F}">
          <xlmsforms:question id="r415a344d123c4c6ebee5b5c2e9dbe4a2"/>
        </ext>
      </extLst>
    </tableColumn>
    <tableColumn id="24" xr3:uid="{00000000-0010-0000-0000-000018000000}" name="Función Táctica. Gestionar la base de datos de repositorio de conocimientos" dataDxfId="22">
      <extLst>
        <ext xmlns:xlmsforms="http://schemas.microsoft.com/office/spreadsheetml/2023/msForms" uri="{FCC71383-01E1-4257-9335-427F07BE8D7F}">
          <xlmsforms:question id="r0a653b8c028f4165a40b30a86b0cef64"/>
        </ext>
      </extLst>
    </tableColumn>
    <tableColumn id="25" xr3:uid="{00000000-0010-0000-0000-000019000000}" name="Función Táctica.  Gestionar la base de datos de riesgos " dataDxfId="21">
      <extLst>
        <ext xmlns:xlmsforms="http://schemas.microsoft.com/office/spreadsheetml/2023/msForms" uri="{FCC71383-01E1-4257-9335-427F07BE8D7F}">
          <xlmsforms:question id="r6e883bdd81b5437496469f4acbda78ea"/>
        </ext>
      </extLst>
    </tableColumn>
    <tableColumn id="89" xr3:uid="{16C5EC5B-9BDB-0B46-90B1-380FD4FF9816}" name="PMO - Nivel Función Táctica" dataDxfId="20">
      <calculatedColumnFormula array="1">SUM(OfficeForms.Table[[#This Row],[Función Táctica. Desarrollar e implementar una metodología estándar de gestión de proyectos.]:[Función Táctica.  Gestionar la base de datos de riesgos ]]/5)</calculatedColumnFormula>
    </tableColumn>
    <tableColumn id="27" xr3:uid="{00000000-0010-0000-0000-00001B000000}" name="Función Operativa. Informar sobre el estado del proyecto/programa a la alta dirección." dataDxfId="19">
      <extLst>
        <ext xmlns:xlmsforms="http://schemas.microsoft.com/office/spreadsheetml/2023/msForms" uri="{FCC71383-01E1-4257-9335-427F07BE8D7F}">
          <xlmsforms:question id="r9a948ebba32e458d9f750f574c577cea"/>
        </ext>
      </extLst>
    </tableColumn>
    <tableColumn id="28" xr3:uid="{00000000-0010-0000-0000-00001C000000}" name="Función Operativa. Mentoría  a los jefes de proyectos " dataDxfId="18">
      <extLst>
        <ext xmlns:xlmsforms="http://schemas.microsoft.com/office/spreadsheetml/2023/msForms" uri="{FCC71383-01E1-4257-9335-427F07BE8D7F}">
          <xlmsforms:question id="ra8632997ebca4eeaa2deb5e2abb30dfd"/>
        </ext>
      </extLst>
    </tableColumn>
    <tableColumn id="29" xr3:uid="{00000000-0010-0000-0000-00001D000000}" name="Función Operativa. Proporcionar tareas especializadas para los jefes de proyecto." dataDxfId="17">
      <extLst>
        <ext xmlns:xlmsforms="http://schemas.microsoft.com/office/spreadsheetml/2023/msForms" uri="{FCC71383-01E1-4257-9335-427F07BE8D7F}">
          <xlmsforms:question id="rd6610fd15519477491cf0bf3dbd47ae9"/>
        </ext>
      </extLst>
    </tableColumn>
    <tableColumn id="30" xr3:uid="{00000000-0010-0000-0000-00001E000000}" name="Función Operativa. Gestionar uno o varios programas." dataDxfId="16">
      <extLst>
        <ext xmlns:xlmsforms="http://schemas.microsoft.com/office/spreadsheetml/2023/msForms" uri="{FCC71383-01E1-4257-9335-427F07BE8D7F}">
          <xlmsforms:question id="r6d808c21212e468dbc93c0a35d927303"/>
        </ext>
      </extLst>
    </tableColumn>
    <tableColumn id="31" xr3:uid="{00000000-0010-0000-0000-00001F000000}" name="Función Operativa. Gestionar documentación  proyecto y positorio de gestión del conocimiento." dataDxfId="15">
      <extLst>
        <ext xmlns:xlmsforms="http://schemas.microsoft.com/office/spreadsheetml/2023/msForms" uri="{FCC71383-01E1-4257-9335-427F07BE8D7F}">
          <xlmsforms:question id="r4fd34b3db79f4b629c3171f846cd4ed9"/>
        </ext>
      </extLst>
    </tableColumn>
    <tableColumn id="90" xr3:uid="{7A2F2147-F0BD-3342-B558-CE4B2BCB3A35}" name="PMO - Nivel Operativo" dataDxfId="14">
      <calculatedColumnFormula array="1">SUM(OfficeForms.Table[[#This Row],[Función Operativa. Informar sobre el estado del proyecto/programa a la alta dirección.]:[Función Operativa. Gestionar documentación  proyecto y positorio de gestión del conocimiento.]]/5)</calculatedColumnFormula>
    </tableColumn>
  </tableColumns>
  <tableStyleInfo name="TableStyleMedium2" showFirstColumn="0" showLastColumn="0" showRowStripes="1" showColumnStripes="0"/>
  <extLst>
    <ext xmlns:xlmsforms="http://schemas.microsoft.com/office/spreadsheetml/2023/msForms" uri="{839C7E11-91E4-4DBD-9C5D-0DEA604FA9AC}">
      <xlmsforms:msForm id="3ImXiS8gtESEcqbUD560QGXeOud-eipNty4mBjjbgj9UMEdCSEMzWVE1RDJOUElVRDBEQ1dTUFJJUy4u" isFormConnected="1" maxResponseId="111" latestEventMarker="330">
        <xlmsforms:syncedQuestionId>id</xlmsforms:syncedQuestionId>
        <xlmsforms:syncedQuestionId>startDate</xlmsforms:syncedQuestionId>
        <xlmsforms:syncedQuestionId>submitDate</xlmsforms:syncedQuestionId>
        <xlmsforms:syncedQuestionId>responder</xlmsforms:syncedQuestionId>
        <xlmsforms:syncedQuestionId>responderName</xlmsforms:syncedQuestionId>
        <xlmsforms:syncedQuestionId>r006f5b8b55db4fe8a87f88be7a1616cc</xlmsforms:syncedQuestionId>
        <xlmsforms:syncedQuestionId>re05c23325caa406fbcca67a65b7ec1c5</xlmsforms:syncedQuestionId>
        <xlmsforms:syncedQuestionId>rf78b40528fac4a0a950cb5a8ae98a5ff</xlmsforms:syncedQuestionId>
        <xlmsforms:syncedQuestionId>r1218b04bfb914c588f0dd8b9e92fa924</xlmsforms:syncedQuestionId>
        <xlmsforms:syncedQuestionId>r511a09110d534338b6af7e477db4b7bb</xlmsforms:syncedQuestionId>
        <xlmsforms:syncedQuestionId>r94e200da7ac34ecc89b33c1c4e195e78</xlmsforms:syncedQuestionId>
        <xlmsforms:syncedQuestionId>r7488bf8f631c48cc86fa06ec110b75f3</xlmsforms:syncedQuestionId>
        <xlmsforms:syncedQuestionId>rdfffe0978a9947209619e4d8b3f5a63a</xlmsforms:syncedQuestionId>
        <xlmsforms:syncedQuestionId>r8bb5d827a4aa49fab5b600e505b827ff</xlmsforms:syncedQuestionId>
        <xlmsforms:syncedQuestionId>r4be7e6732bc342fa9b9e63b10d9d1afd</xlmsforms:syncedQuestionId>
        <xlmsforms:syncedQuestionId>r70af8fd0f73242caa045e11b77b887ca</xlmsforms:syncedQuestionId>
        <xlmsforms:syncedQuestionId>r11d49d01afc14daca475cca047c40fae</xlmsforms:syncedQuestionId>
        <xlmsforms:syncedQuestionId>r91e331d602a941ce8a504fbd0b84d677</xlmsforms:syncedQuestionId>
        <xlmsforms:syncedQuestionId>rccd9b006854d42eca2594fc03e590294</xlmsforms:syncedQuestionId>
        <xlmsforms:syncedQuestionId>rbd8c632e4e0147b2a608f80ed46cfe57</xlmsforms:syncedQuestionId>
        <xlmsforms:syncedQuestionId>rb41b25ad08214c318896331c06603e7c</xlmsforms:syncedQuestionId>
        <xlmsforms:syncedQuestionId>r5fd18a1cdb6c4ca9add9499fe72c16ff</xlmsforms:syncedQuestionId>
        <xlmsforms:syncedQuestionId>r415a344d123c4c6ebee5b5c2e9dbe4a2</xlmsforms:syncedQuestionId>
        <xlmsforms:syncedQuestionId>r0a653b8c028f4165a40b30a86b0cef64</xlmsforms:syncedQuestionId>
        <xlmsforms:syncedQuestionId>r6e883bdd81b5437496469f4acbda78ea</xlmsforms:syncedQuestionId>
        <xlmsforms:syncedQuestionId>r0c242171e778473d8a5eb841f3f3281f</xlmsforms:syncedQuestionId>
        <xlmsforms:syncedQuestionId>r9a948ebba32e458d9f750f574c577cea</xlmsforms:syncedQuestionId>
        <xlmsforms:syncedQuestionId>ra8632997ebca4eeaa2deb5e2abb30dfd</xlmsforms:syncedQuestionId>
        <xlmsforms:syncedQuestionId>rd6610fd15519477491cf0bf3dbd47ae9</xlmsforms:syncedQuestionId>
        <xlmsforms:syncedQuestionId>r6d808c21212e468dbc93c0a35d927303</xlmsforms:syncedQuestionId>
        <xlmsforms:syncedQuestionId>r4fd34b3db79f4b629c3171f846cd4ed9</xlmsforms:syncedQuestionId>
        <xlmsforms:syncedQuestionId>r4be8a832b55844b28c9ef39dad944cbc</xlmsforms:syncedQuestionId>
        <xlmsforms:syncedQuestionId>r88fd37c082c74d57a5cccccaa3073ff5</xlmsforms:syncedQuestionId>
        <xlmsforms:syncedQuestionId>r88ed0f8be4e14e7082d2c43f3b5cde9e</xlmsforms:syncedQuestionId>
        <xlmsforms:syncedQuestionId>r09f0390ca815490d89a8f340a43a1784</xlmsforms:syncedQuestionId>
        <xlmsforms:syncedQuestionId>r55b76e62ca014666966b0e6bd6b2a785</xlmsforms:syncedQuestionId>
        <xlmsforms:syncedQuestionId>r83caf0fb338444abb9a14397fe46c5ce</xlmsforms:syncedQuestionId>
        <xlmsforms:syncedQuestionId>r84c1913f808749859a1803add2ffa41a</xlmsforms:syncedQuestionId>
        <xlmsforms:syncedQuestionId>rc6a0db85330e402b880ee3fce049585f</xlmsforms:syncedQuestionId>
        <xlmsforms:syncedQuestionId>rff7557b4f43947e0a100689abdb2f16f</xlmsforms:syncedQuestionId>
        <xlmsforms:syncedQuestionId>re5c1fbecff624ec2923ea547aa796fa2</xlmsforms:syncedQuestionId>
        <xlmsforms:syncedQuestionId>r0c4469006ef54ceb9af317179b417397</xlmsforms:syncedQuestionId>
        <xlmsforms:syncedQuestionId>r49cdc2b8620c43d0867bd11aae947993</xlmsforms:syncedQuestionId>
        <xlmsforms:syncedQuestionId>rff3c41893e7e48e8a129869f32460e53</xlmsforms:syncedQuestionId>
        <xlmsforms:syncedQuestionId>rdf94e49afe5a47648c323d17ef55ebf8</xlmsforms:syncedQuestionId>
        <xlmsforms:syncedQuestionId>r5ac7ba8578464025a31757159bd65a2c</xlmsforms:syncedQuestionId>
        <xlmsforms:syncedQuestionId>r21098a0e92144b69b949ecddf227c56f</xlmsforms:syncedQuestionId>
        <xlmsforms:syncedQuestionId>r1dbd5cc693374183b7ee44d4494d05bd</xlmsforms:syncedQuestionId>
        <xlmsforms:syncedQuestionId>rc17492892b0d4b78a60e34c4ed17452e</xlmsforms:syncedQuestionId>
        <xlmsforms:syncedQuestionId>rb97dd254937d405dba8ead3b7d9cdfc2</xlmsforms:syncedQuestionId>
        <xlmsforms:syncedQuestionId>r0fcbdb3a192e42be8a15c1c223703901</xlmsforms:syncedQuestionId>
        <xlmsforms:syncedQuestionId>r1aaaf4a3a8374f0993061f038c4968a8</xlmsforms:syncedQuestionId>
        <xlmsforms:syncedQuestionId>rd8c1acc971b548708f6be22dc30a3118</xlmsforms:syncedQuestionId>
        <xlmsforms:syncedQuestionId>r187464d2f07246db8636d3ed5753d7b7</xlmsforms:syncedQuestionId>
        <xlmsforms:syncedQuestionId>rcc8c950e0f084cae9ef7e0f7f940881b</xlmsforms:syncedQuestionId>
        <xlmsforms:syncedQuestionId>r39f0ea8d77e749098ce8ea1ab99d1747</xlmsforms:syncedQuestionId>
        <xlmsforms:syncedQuestionId>ra4f1f5f856604a7098c726107948af61</xlmsforms:syncedQuestionId>
        <xlmsforms:syncedQuestionId>r0e9f723069994cb892b211e87db59fd8</xlmsforms:syncedQuestionId>
        <xlmsforms:syncedQuestionId>rdcec01d9c049453f922f8ff8943081bd</xlmsforms:syncedQuestionId>
        <xlmsforms:syncedQuestionId>r2f5fddfdf83e4812a6c6005f515c019e</xlmsforms:syncedQuestionId>
        <xlmsforms:syncedQuestionId>rd7cd62ed3bea4869b11a221bb6405206</xlmsforms:syncedQuestionId>
        <xlmsforms:syncedQuestionId>r1cefce9b52434787a4cccb5932e75c74</xlmsforms:syncedQuestionId>
        <xlmsforms:syncedQuestionId>r7e8ec50ef49449e48c7c65ae02f28e67</xlmsforms:syncedQuestionId>
        <xlmsforms:syncedQuestionId>r13a923ce998245989564831f6c4fe3bf</xlmsforms:syncedQuestionId>
        <xlmsforms:syncedQuestionId>r6e591d2ab59b4bc9b1efd21a55d6cec0</xlmsforms:syncedQuestionId>
        <xlmsforms:syncedQuestionId>rc7ff703302034e918fe7428ebc6595c7</xlmsforms:syncedQuestionId>
        <xlmsforms:syncedQuestionId>rf10adf3d0ec04743a396eb2cd007fe3d</xlmsforms:syncedQuestionId>
        <xlmsforms:syncedQuestionId>rf32f6740abb14bd4975305115dbf6888</xlmsforms:syncedQuestionId>
        <xlmsforms:syncedQuestionId>ree4a1ca4d14946e49c5e27dd4c9e86be</xlmsforms:syncedQuestionId>
        <xlmsforms:syncedQuestionId>r90dc6c32dcee4b62bdb2e3ebd752df9c</xlmsforms:syncedQuestionId>
        <xlmsforms:syncedQuestionId>re6b2904a39474b4dada9db605aef1d6b</xlmsforms:syncedQuestionId>
        <xlmsforms:syncedQuestionId>r7a028e5bd0614a7588b21afbed360de5</xlmsforms:syncedQuestionId>
        <xlmsforms:syncedQuestionId>rc439111eb18f40baa9014e96d7997dba</xlmsforms:syncedQuestionId>
        <xlmsforms:syncedQuestionId>rbab68473baa540d2876dedff11cb3de2</xlmsforms:syncedQuestionId>
        <xlmsforms:syncedQuestionId>rf782d8aaae78469a8b12950dea477241</xlmsforms:syncedQuestionId>
        <xlmsforms:syncedQuestionId>ra7cbb6a1fc1b4c8a985b6639850404ba</xlmsforms:syncedQuestionId>
        <xlmsforms:syncedQuestionId>r9ef04d1d4ebd4c2d919c847e25aa1303</xlmsforms:syncedQuestionId>
        <xlmsforms:syncedQuestionId>rb20de8ecb7d74c2086a958c157e449fa</xlmsforms:syncedQuestionId>
        <xlmsforms:syncedQuestionId>rf0556135c63e4077bdd929e7cdf4436e</xlmsforms:syncedQuestionId>
        <xlmsforms:syncedQuestionId>r59b73ccb7611404e9a6af0afe4213a4b</xlmsforms:syncedQuestionId>
        <xlmsforms:syncedQuestionId>r7c19ad3b53f0472886c645729d40c898</xlmsforms:syncedQuestionId>
        <xlmsforms:syncedQuestionId>r2c6f5c813079418f9dc65155aa6ef196</xlmsforms:syncedQuestionId>
        <xlmsforms:syncedQuestionId>r661d6b6f026d42f29067565d926e0559</xlmsforms:syncedQuestionId>
        <xlmsforms:syncedQuestionId>r06b8d60ddeac4bbb892c57fcad32cb9b</xlmsforms:syncedQuestionId>
      </xlmsforms:msForm>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8CEEB19-B197-934E-95DA-392BBC8F687D}" name="Table68" displayName="Table68" ref="C6:G7" totalsRowShown="0" headerRowDxfId="13" dataDxfId="12">
  <autoFilter ref="C6:G7" xr:uid="{7E2A3120-FD99-184A-ACFC-75E637CD1546}"/>
  <tableColumns count="5">
    <tableColumn id="1" xr3:uid="{FFC4F149-080F-264E-B723-E66572D58641}" name="Pasar de Nivel 0 a 1" dataDxfId="11"/>
    <tableColumn id="2" xr3:uid="{7088CA8E-3342-604D-8FDF-ABA31D447D8C}" name="Pasar de Nivel 1 a 2" dataDxfId="10"/>
    <tableColumn id="3" xr3:uid="{6B0C037A-0937-B945-97EB-1AA89394EF9B}" name="Pasar de Nivel 2 a 3" dataDxfId="9"/>
    <tableColumn id="4" xr3:uid="{02492D91-DE62-4B41-BCB2-5233A2CEE7B0}" name="Pasar de Nivel 3 a 4" dataDxfId="8"/>
    <tableColumn id="5" xr3:uid="{0A18DD4B-4D3E-9B48-A21B-8869EC33CBD6}" name="Pasar de Nivel 4 a 5" dataDxf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AFA5BEA-3EF7-4E44-B816-4EAB05ED40D1}" name="Table689" displayName="Table689" ref="C17:G18" totalsRowShown="0" headerRowDxfId="6" dataDxfId="5">
  <autoFilter ref="C17:G18" xr:uid="{DAFA5BEA-3EF7-4E44-B816-4EAB05ED40D1}"/>
  <tableColumns count="5">
    <tableColumn id="1" xr3:uid="{3ED0919B-0296-C54F-8042-DDC42A8C2EEF}" name="TBC" dataDxfId="4"/>
    <tableColumn id="2" xr3:uid="{AC7DC0AA-685B-C64E-8236-1886028AA189}" name="TBC2" dataDxfId="3"/>
    <tableColumn id="3" xr3:uid="{4EC92C90-BB43-FE44-9C53-93936963C10A}" name="TBC3" dataDxfId="2"/>
    <tableColumn id="4" xr3:uid="{C6C86474-183B-8447-9AE1-70EA81CE55FD}" name="TBC4" dataDxfId="1"/>
    <tableColumn id="5" xr3:uid="{2E32BC17-EE39-B34C-B4C8-27BEC3C4D22F}" name="TBC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F76BC-B9E7-314F-8D22-789C80FD31D9}">
  <sheetPr codeName="Sheet4"/>
  <dimension ref="B3:O31"/>
  <sheetViews>
    <sheetView zoomScale="90" zoomScaleNormal="90" workbookViewId="0">
      <selection activeCell="D9" sqref="D9"/>
    </sheetView>
  </sheetViews>
  <sheetFormatPr baseColWidth="10" defaultRowHeight="15"/>
  <cols>
    <col min="2" max="2" width="12.33203125" customWidth="1"/>
    <col min="3" max="3" width="40.6640625" customWidth="1"/>
    <col min="4" max="4" width="31.6640625" customWidth="1"/>
    <col min="5" max="5" width="37" customWidth="1"/>
    <col min="6" max="6" width="35.83203125" customWidth="1"/>
    <col min="7" max="7" width="33.33203125" customWidth="1"/>
    <col min="8" max="8" width="43.83203125" customWidth="1"/>
  </cols>
  <sheetData>
    <row r="3" spans="2:15" ht="15" customHeight="1"/>
    <row r="4" spans="2:15" ht="22" customHeight="1"/>
    <row r="5" spans="2:15" ht="15" customHeight="1">
      <c r="D5" s="47" t="s">
        <v>163</v>
      </c>
      <c r="E5" s="48"/>
      <c r="F5" s="48"/>
      <c r="G5" s="48"/>
    </row>
    <row r="6" spans="2:15" ht="15" customHeight="1">
      <c r="D6" s="48"/>
      <c r="E6" s="48"/>
      <c r="F6" s="48"/>
      <c r="G6" s="48"/>
    </row>
    <row r="8" spans="2:15" ht="43" customHeight="1">
      <c r="B8" s="2" t="s">
        <v>126</v>
      </c>
      <c r="C8" s="2" t="s">
        <v>116</v>
      </c>
      <c r="D8" s="2" t="s">
        <v>117</v>
      </c>
      <c r="E8" s="2" t="s">
        <v>119</v>
      </c>
      <c r="F8" s="2" t="s">
        <v>120</v>
      </c>
      <c r="G8" s="2" t="s">
        <v>121</v>
      </c>
      <c r="H8" s="2" t="s">
        <v>122</v>
      </c>
      <c r="I8" s="2"/>
      <c r="J8" s="2"/>
      <c r="K8" s="2"/>
      <c r="L8" s="2"/>
      <c r="M8" s="2"/>
      <c r="N8" s="2"/>
      <c r="O8" s="2"/>
    </row>
    <row r="9" spans="2:15" ht="409" customHeight="1">
      <c r="B9" s="36" t="s">
        <v>35</v>
      </c>
      <c r="C9" s="35" t="s">
        <v>127</v>
      </c>
      <c r="D9" s="35" t="s">
        <v>128</v>
      </c>
      <c r="E9" s="35" t="s">
        <v>129</v>
      </c>
      <c r="F9" s="35" t="s">
        <v>130</v>
      </c>
      <c r="G9" s="35" t="s">
        <v>131</v>
      </c>
      <c r="H9" s="35" t="s">
        <v>132</v>
      </c>
      <c r="I9" s="2"/>
      <c r="J9" s="2"/>
      <c r="K9" s="2"/>
      <c r="L9" s="2"/>
      <c r="M9" s="2"/>
      <c r="N9" s="2"/>
      <c r="O9" s="2"/>
    </row>
    <row r="10" spans="2:15" ht="409.6">
      <c r="B10" s="36" t="s">
        <v>123</v>
      </c>
      <c r="C10" s="35" t="s">
        <v>133</v>
      </c>
      <c r="D10" s="35" t="s">
        <v>134</v>
      </c>
      <c r="E10" s="35" t="s">
        <v>135</v>
      </c>
      <c r="F10" s="35" t="s">
        <v>136</v>
      </c>
      <c r="G10" s="35" t="s">
        <v>137</v>
      </c>
      <c r="H10" s="35" t="s">
        <v>138</v>
      </c>
      <c r="I10" s="2"/>
      <c r="J10" s="2"/>
      <c r="K10" s="2"/>
      <c r="L10" s="2"/>
      <c r="M10" s="2"/>
      <c r="N10" s="2"/>
      <c r="O10" s="2"/>
    </row>
    <row r="11" spans="2:15" ht="224">
      <c r="B11" s="36" t="s">
        <v>38</v>
      </c>
      <c r="C11" s="35" t="s">
        <v>139</v>
      </c>
      <c r="D11" s="35" t="s">
        <v>140</v>
      </c>
      <c r="E11" s="35" t="s">
        <v>141</v>
      </c>
      <c r="F11" s="35" t="s">
        <v>142</v>
      </c>
      <c r="G11" s="35" t="s">
        <v>143</v>
      </c>
      <c r="H11" s="35" t="s">
        <v>144</v>
      </c>
      <c r="I11" s="2"/>
      <c r="J11" s="2"/>
      <c r="K11" s="2"/>
      <c r="L11" s="2"/>
      <c r="M11" s="2"/>
      <c r="N11" s="2"/>
      <c r="O11" s="2"/>
    </row>
    <row r="12" spans="2:15" ht="395">
      <c r="B12" s="36" t="s">
        <v>118</v>
      </c>
      <c r="C12" s="35" t="s">
        <v>151</v>
      </c>
      <c r="D12" s="35" t="s">
        <v>152</v>
      </c>
      <c r="E12" s="35" t="s">
        <v>153</v>
      </c>
      <c r="F12" s="35" t="s">
        <v>154</v>
      </c>
      <c r="G12" s="35" t="s">
        <v>155</v>
      </c>
      <c r="H12" s="35" t="s">
        <v>156</v>
      </c>
      <c r="I12" s="2"/>
      <c r="J12" s="2"/>
      <c r="K12" s="2"/>
      <c r="L12" s="2"/>
      <c r="M12" s="2"/>
      <c r="N12" s="2"/>
      <c r="O12" s="2"/>
    </row>
    <row r="13" spans="2:15" ht="409" customHeight="1">
      <c r="B13" s="36" t="s">
        <v>37</v>
      </c>
      <c r="C13" s="35" t="s">
        <v>145</v>
      </c>
      <c r="D13" s="35" t="s">
        <v>146</v>
      </c>
      <c r="E13" s="35" t="s">
        <v>147</v>
      </c>
      <c r="F13" s="35" t="s">
        <v>148</v>
      </c>
      <c r="G13" s="35" t="s">
        <v>149</v>
      </c>
      <c r="H13" s="35" t="s">
        <v>150</v>
      </c>
      <c r="I13" s="2"/>
      <c r="J13" s="2"/>
      <c r="K13" s="2"/>
      <c r="L13" s="2"/>
      <c r="M13" s="2"/>
      <c r="N13" s="2"/>
      <c r="O13" s="2"/>
    </row>
    <row r="14" spans="2:15">
      <c r="C14" s="2"/>
      <c r="D14" s="2"/>
      <c r="E14" s="2"/>
      <c r="F14" s="2"/>
      <c r="G14" s="2"/>
      <c r="H14" s="2"/>
    </row>
    <row r="15" spans="2:15">
      <c r="C15" s="2"/>
      <c r="D15" s="2"/>
      <c r="E15" s="2"/>
      <c r="F15" s="2"/>
      <c r="G15" s="2"/>
      <c r="H15" s="2"/>
    </row>
    <row r="16" spans="2:15">
      <c r="C16" s="2"/>
      <c r="D16" s="2"/>
      <c r="E16" s="2"/>
      <c r="F16" s="2"/>
      <c r="G16" s="2"/>
      <c r="H16" s="2"/>
    </row>
    <row r="17" spans="3:8">
      <c r="C17" s="2"/>
      <c r="D17" s="2"/>
      <c r="E17" s="2"/>
      <c r="F17" s="2"/>
      <c r="G17" s="2"/>
      <c r="H17" s="2"/>
    </row>
    <row r="18" spans="3:8">
      <c r="C18" s="2"/>
      <c r="D18" s="2"/>
      <c r="E18" s="2"/>
      <c r="F18" s="2"/>
      <c r="G18" s="2"/>
      <c r="H18" s="2"/>
    </row>
    <row r="19" spans="3:8">
      <c r="C19" s="2"/>
      <c r="D19" s="2"/>
      <c r="E19" s="2"/>
      <c r="F19" s="2"/>
      <c r="G19" s="2"/>
      <c r="H19" s="2"/>
    </row>
    <row r="20" spans="3:8">
      <c r="C20" s="2"/>
      <c r="D20" s="2"/>
      <c r="E20" s="2"/>
      <c r="F20" s="2"/>
      <c r="G20" s="2"/>
      <c r="H20" s="2"/>
    </row>
    <row r="21" spans="3:8">
      <c r="C21" s="2"/>
      <c r="D21" s="2"/>
      <c r="E21" s="2"/>
      <c r="F21" s="2"/>
      <c r="G21" s="2"/>
      <c r="H21" s="2"/>
    </row>
    <row r="22" spans="3:8">
      <c r="C22" s="2"/>
      <c r="D22" s="2"/>
      <c r="E22" s="2"/>
      <c r="F22" s="2"/>
      <c r="G22" s="2"/>
      <c r="H22" s="2"/>
    </row>
    <row r="23" spans="3:8">
      <c r="C23" s="2"/>
      <c r="D23" s="2"/>
      <c r="E23" s="2"/>
      <c r="F23" s="2"/>
      <c r="G23" s="2"/>
      <c r="H23" s="2"/>
    </row>
    <row r="24" spans="3:8">
      <c r="C24" s="2"/>
      <c r="D24" s="2"/>
      <c r="E24" s="2"/>
      <c r="F24" s="2"/>
      <c r="G24" s="2"/>
      <c r="H24" s="2"/>
    </row>
    <row r="25" spans="3:8">
      <c r="C25" s="2"/>
      <c r="D25" s="2"/>
      <c r="E25" s="2"/>
      <c r="F25" s="2"/>
      <c r="G25" s="2"/>
      <c r="H25" s="2"/>
    </row>
    <row r="26" spans="3:8">
      <c r="C26" s="2"/>
      <c r="D26" s="2"/>
      <c r="E26" s="2"/>
      <c r="F26" s="2"/>
      <c r="G26" s="2"/>
      <c r="H26" s="2"/>
    </row>
    <row r="27" spans="3:8">
      <c r="C27" s="2"/>
      <c r="D27" s="2"/>
      <c r="E27" s="2"/>
      <c r="F27" s="2"/>
      <c r="G27" s="2"/>
      <c r="H27" s="2"/>
    </row>
    <row r="28" spans="3:8">
      <c r="C28" s="2"/>
      <c r="D28" s="2"/>
      <c r="E28" s="2"/>
      <c r="F28" s="2"/>
      <c r="G28" s="2"/>
      <c r="H28" s="2"/>
    </row>
    <row r="29" spans="3:8">
      <c r="C29" s="2"/>
      <c r="D29" s="2"/>
      <c r="E29" s="2"/>
      <c r="F29" s="2"/>
      <c r="G29" s="2"/>
      <c r="H29" s="2"/>
    </row>
    <row r="30" spans="3:8">
      <c r="C30" s="2"/>
      <c r="D30" s="2"/>
      <c r="E30" s="2"/>
      <c r="F30" s="2"/>
      <c r="G30" s="2"/>
      <c r="H30" s="2"/>
    </row>
    <row r="31" spans="3:8">
      <c r="C31" s="2"/>
      <c r="D31" s="2"/>
      <c r="E31" s="2"/>
      <c r="F31" s="2"/>
      <c r="G31" s="2"/>
      <c r="H31" s="2"/>
    </row>
  </sheetData>
  <mergeCells count="1">
    <mergeCell ref="D5:G6"/>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1F234-161B-B14A-85CC-CF20F8A54838}">
  <sheetPr codeName="Sheet1">
    <outlinePr summaryBelow="0" summaryRight="0"/>
  </sheetPr>
  <dimension ref="A1:JC59"/>
  <sheetViews>
    <sheetView showGridLines="0" tabSelected="1" zoomScaleNormal="100" workbookViewId="0">
      <selection activeCell="C47" sqref="C47:O55"/>
    </sheetView>
  </sheetViews>
  <sheetFormatPr baseColWidth="10" defaultColWidth="12.6640625" defaultRowHeight="15.75" customHeight="1"/>
  <cols>
    <col min="1" max="1" width="6.1640625" style="14" customWidth="1"/>
    <col min="2" max="2" width="2.83203125" style="14" customWidth="1"/>
    <col min="3" max="3" width="13.6640625" style="14" customWidth="1"/>
    <col min="4" max="4" width="38.6640625" style="14" customWidth="1"/>
    <col min="5" max="5" width="2.1640625" style="14" customWidth="1"/>
    <col min="6" max="6" width="7.5" style="14" customWidth="1"/>
    <col min="7" max="7" width="41.83203125" style="14" customWidth="1"/>
    <col min="8" max="8" width="0.33203125" style="14" customWidth="1"/>
    <col min="9" max="9" width="3" style="14" customWidth="1"/>
    <col min="10" max="10" width="22" style="14" customWidth="1"/>
    <col min="11" max="11" width="3.83203125" style="14" customWidth="1"/>
    <col min="12" max="13" width="12.6640625" style="14"/>
    <col min="14" max="14" width="16.6640625" style="14" customWidth="1"/>
    <col min="15" max="15" width="30.5" style="14" customWidth="1"/>
    <col min="16" max="16" width="2.83203125" style="14" customWidth="1"/>
    <col min="17" max="17" width="6.83203125" style="14" customWidth="1"/>
    <col min="18" max="22" width="12.6640625" style="14"/>
    <col min="23" max="23" width="11.5" style="14" customWidth="1"/>
    <col min="24" max="16384" width="12.6640625" style="14"/>
  </cols>
  <sheetData>
    <row r="1" spans="1:20" ht="24" customHeight="1">
      <c r="A1" s="15"/>
      <c r="B1" s="15"/>
      <c r="C1" s="15"/>
      <c r="D1" s="15"/>
      <c r="E1" s="15"/>
      <c r="F1" s="15"/>
      <c r="G1" s="15"/>
      <c r="H1" s="15"/>
      <c r="I1" s="15"/>
      <c r="J1" s="15"/>
      <c r="K1" s="15"/>
      <c r="L1" s="15"/>
      <c r="M1" s="15"/>
      <c r="N1" s="15"/>
      <c r="O1" s="15"/>
      <c r="P1" s="15"/>
      <c r="Q1" s="15"/>
    </row>
    <row r="2" spans="1:20" ht="24" customHeight="1">
      <c r="A2" s="15"/>
      <c r="B2" s="76" t="s">
        <v>103</v>
      </c>
      <c r="C2" s="65"/>
      <c r="D2" s="65"/>
      <c r="E2" s="65"/>
      <c r="F2" s="65"/>
      <c r="G2" s="65"/>
      <c r="H2" s="65"/>
      <c r="I2" s="65"/>
      <c r="J2" s="65"/>
      <c r="K2" s="65"/>
      <c r="L2" s="65"/>
      <c r="M2" s="65"/>
      <c r="N2" s="65"/>
      <c r="O2" s="65"/>
      <c r="P2" s="65"/>
      <c r="Q2" s="15"/>
    </row>
    <row r="3" spans="1:20" ht="24" customHeight="1">
      <c r="A3" s="15"/>
      <c r="B3" s="65"/>
      <c r="C3" s="65"/>
      <c r="D3" s="65"/>
      <c r="E3" s="65"/>
      <c r="F3" s="65"/>
      <c r="G3" s="65"/>
      <c r="H3" s="65"/>
      <c r="I3" s="65"/>
      <c r="J3" s="65"/>
      <c r="K3" s="65"/>
      <c r="L3" s="65"/>
      <c r="M3" s="65"/>
      <c r="N3" s="65"/>
      <c r="O3" s="65"/>
      <c r="P3" s="65"/>
      <c r="Q3" s="15"/>
    </row>
    <row r="4" spans="1:20" ht="6.75" customHeight="1">
      <c r="A4" s="15"/>
      <c r="B4" s="15"/>
      <c r="C4" s="15"/>
      <c r="D4" s="15"/>
      <c r="E4" s="15"/>
      <c r="F4" s="15"/>
      <c r="G4" s="15"/>
      <c r="H4" s="15"/>
      <c r="I4" s="15"/>
      <c r="J4" s="15"/>
      <c r="K4" s="15"/>
      <c r="L4" s="15"/>
      <c r="M4" s="15"/>
      <c r="N4" s="15"/>
      <c r="O4" s="15"/>
      <c r="P4" s="15"/>
      <c r="Q4" s="15"/>
    </row>
    <row r="5" spans="1:20" ht="24" customHeight="1">
      <c r="A5" s="15"/>
      <c r="B5" s="77" t="s">
        <v>101</v>
      </c>
      <c r="C5" s="65"/>
      <c r="D5" s="65"/>
      <c r="E5" s="65"/>
      <c r="F5" s="65"/>
      <c r="G5" s="65"/>
      <c r="H5" s="65"/>
      <c r="I5" s="65"/>
      <c r="J5" s="65"/>
      <c r="K5" s="65"/>
      <c r="L5" s="65"/>
      <c r="M5" s="65"/>
      <c r="N5" s="65"/>
      <c r="O5" s="65"/>
      <c r="P5" s="65"/>
      <c r="Q5" s="15"/>
    </row>
    <row r="6" spans="1:20" ht="24" customHeight="1" thickBot="1">
      <c r="A6" s="15"/>
      <c r="B6" s="23"/>
      <c r="C6" s="22"/>
      <c r="D6" s="22"/>
      <c r="E6" s="22"/>
      <c r="F6" s="22"/>
      <c r="G6" s="22"/>
      <c r="H6" s="22"/>
      <c r="I6" s="22"/>
      <c r="J6" s="22" t="s">
        <v>126</v>
      </c>
      <c r="K6" s="22"/>
      <c r="L6" s="22"/>
      <c r="M6" s="22"/>
      <c r="N6" s="22"/>
      <c r="O6" s="22"/>
      <c r="P6" s="21"/>
      <c r="Q6" s="15"/>
      <c r="R6" s="14" t="s">
        <v>126</v>
      </c>
    </row>
    <row r="7" spans="1:20" ht="24" customHeight="1" thickBot="1">
      <c r="A7" s="15"/>
      <c r="B7" s="20"/>
      <c r="C7" s="89" t="s">
        <v>202</v>
      </c>
      <c r="D7" s="90"/>
      <c r="E7" s="90"/>
      <c r="F7" s="90"/>
      <c r="G7" s="90"/>
      <c r="H7" s="91"/>
      <c r="I7" s="38"/>
      <c r="J7" s="98" t="s">
        <v>183</v>
      </c>
      <c r="K7" s="99"/>
      <c r="L7" s="99"/>
      <c r="M7" s="99"/>
      <c r="N7" s="99"/>
      <c r="O7" s="100"/>
      <c r="P7" s="19"/>
      <c r="Q7" s="15"/>
      <c r="T7" s="14" t="s">
        <v>126</v>
      </c>
    </row>
    <row r="8" spans="1:20" ht="24" customHeight="1">
      <c r="A8" s="15"/>
      <c r="B8" s="20"/>
      <c r="C8" s="92"/>
      <c r="D8" s="93"/>
      <c r="E8" s="93"/>
      <c r="F8" s="93"/>
      <c r="G8" s="93"/>
      <c r="H8" s="94"/>
      <c r="I8" s="38"/>
      <c r="J8" s="80" t="s">
        <v>186</v>
      </c>
      <c r="K8" s="81"/>
      <c r="L8" s="81"/>
      <c r="M8" s="81"/>
      <c r="N8" s="81"/>
      <c r="O8" s="82"/>
      <c r="P8" s="19"/>
      <c r="Q8" s="15"/>
    </row>
    <row r="9" spans="1:20" ht="24" customHeight="1">
      <c r="A9" s="15"/>
      <c r="B9" s="20"/>
      <c r="C9" s="92"/>
      <c r="D9" s="93"/>
      <c r="E9" s="93"/>
      <c r="F9" s="93"/>
      <c r="G9" s="93"/>
      <c r="H9" s="94"/>
      <c r="I9" s="38"/>
      <c r="J9" s="83"/>
      <c r="K9" s="65"/>
      <c r="L9" s="65"/>
      <c r="M9" s="65"/>
      <c r="N9" s="65"/>
      <c r="O9" s="84"/>
      <c r="P9" s="19"/>
      <c r="Q9" s="15"/>
    </row>
    <row r="10" spans="1:20" ht="24" customHeight="1">
      <c r="A10" s="15"/>
      <c r="B10" s="20"/>
      <c r="C10" s="92"/>
      <c r="D10" s="93"/>
      <c r="E10" s="93"/>
      <c r="F10" s="93"/>
      <c r="G10" s="93"/>
      <c r="H10" s="94"/>
      <c r="I10" s="38"/>
      <c r="J10" s="83"/>
      <c r="K10" s="65"/>
      <c r="L10" s="65"/>
      <c r="M10" s="65"/>
      <c r="N10" s="65"/>
      <c r="O10" s="84"/>
      <c r="P10" s="19"/>
      <c r="Q10" s="15"/>
    </row>
    <row r="11" spans="1:20" ht="24" customHeight="1" thickBot="1">
      <c r="A11" s="15"/>
      <c r="B11" s="20"/>
      <c r="C11" s="95"/>
      <c r="D11" s="96"/>
      <c r="E11" s="96"/>
      <c r="F11" s="96"/>
      <c r="G11" s="96"/>
      <c r="H11" s="97"/>
      <c r="I11" s="38"/>
      <c r="J11" s="85"/>
      <c r="K11" s="86"/>
      <c r="L11" s="86"/>
      <c r="M11" s="86"/>
      <c r="N11" s="86"/>
      <c r="O11" s="87"/>
      <c r="P11" s="19"/>
      <c r="Q11" s="15"/>
    </row>
    <row r="12" spans="1:20" ht="24" customHeight="1">
      <c r="A12" s="15"/>
      <c r="B12" s="20"/>
      <c r="C12" s="15"/>
      <c r="D12" s="15"/>
      <c r="E12" s="15"/>
      <c r="F12" s="15"/>
      <c r="G12" s="15"/>
      <c r="H12" s="15"/>
      <c r="I12" s="15"/>
      <c r="J12" s="24" t="s">
        <v>126</v>
      </c>
      <c r="K12" s="79"/>
      <c r="L12" s="79"/>
      <c r="M12" s="79"/>
      <c r="N12" s="79"/>
      <c r="O12" s="15"/>
      <c r="P12" s="19"/>
      <c r="Q12" s="15"/>
    </row>
    <row r="13" spans="1:20" ht="29" customHeight="1">
      <c r="A13" s="15"/>
      <c r="B13" s="20"/>
      <c r="C13" s="78" t="s">
        <v>200</v>
      </c>
      <c r="D13" s="65"/>
      <c r="E13" s="65"/>
      <c r="F13" s="65"/>
      <c r="G13" s="65"/>
      <c r="H13" s="15"/>
      <c r="I13" s="15"/>
      <c r="J13" s="88" t="s">
        <v>201</v>
      </c>
      <c r="K13" s="88"/>
      <c r="L13" s="88"/>
      <c r="M13" s="88"/>
      <c r="N13" s="88"/>
      <c r="O13" s="88"/>
      <c r="P13" s="19"/>
      <c r="Q13" s="15"/>
    </row>
    <row r="14" spans="1:20" ht="24" customHeight="1">
      <c r="A14" s="15"/>
      <c r="B14" s="20"/>
      <c r="C14" s="24" t="s">
        <v>98</v>
      </c>
      <c r="D14" s="25"/>
      <c r="E14" s="43"/>
      <c r="F14" s="44">
        <v>39</v>
      </c>
      <c r="G14" s="43"/>
      <c r="H14" s="15"/>
      <c r="I14" s="15"/>
      <c r="J14" s="24" t="s">
        <v>184</v>
      </c>
      <c r="K14" s="62" t="str">
        <f>IF($F$14="","",VLOOKUP(F14,ListaPMOs!A:G,6,FALSE))</f>
        <v>Negocio</v>
      </c>
      <c r="L14" s="63"/>
      <c r="M14" s="63"/>
      <c r="N14" s="63"/>
      <c r="O14" s="39"/>
      <c r="P14" s="19"/>
      <c r="Q14" s="15"/>
    </row>
    <row r="15" spans="1:20" ht="24" customHeight="1">
      <c r="A15" s="15"/>
      <c r="B15" s="20"/>
      <c r="C15" s="24" t="s">
        <v>185</v>
      </c>
      <c r="D15" s="62" t="str">
        <f>IF($F$14="","",VLOOKUP(F14,ListaPMOs!A:B,2,FALSE))</f>
        <v>Hombre</v>
      </c>
      <c r="E15" s="63"/>
      <c r="F15" s="63"/>
      <c r="G15" s="63"/>
      <c r="H15" s="15"/>
      <c r="I15" s="15"/>
      <c r="J15" s="24" t="s">
        <v>187</v>
      </c>
      <c r="K15" s="62" t="str">
        <f>IF($F$14="","",VLOOKUP(F14,ListaPMOs!A:H,7,FALSE))</f>
        <v>Proyecto-programa</v>
      </c>
      <c r="L15" s="63"/>
      <c r="M15" s="63"/>
      <c r="N15" s="63"/>
      <c r="O15" s="40"/>
      <c r="P15" s="19"/>
      <c r="Q15" s="15"/>
    </row>
    <row r="16" spans="1:20" ht="24" customHeight="1">
      <c r="A16" s="15"/>
      <c r="B16" s="20"/>
      <c r="C16" s="24" t="s">
        <v>78</v>
      </c>
      <c r="D16" s="62" t="str">
        <f>IF($F$14="","",VLOOKUP(F14,ListaPMOs!A:C,3,FALSE))</f>
        <v>Entre 25 y 35 años</v>
      </c>
      <c r="E16" s="63"/>
      <c r="F16" s="63"/>
      <c r="G16" s="63"/>
      <c r="H16" s="15"/>
      <c r="I16" s="15"/>
      <c r="J16" s="24" t="s">
        <v>188</v>
      </c>
      <c r="K16" s="62" t="str">
        <f>IF($F$14="","",VLOOKUP(F14,ListaPMOs!A:I,9,FALSE))</f>
        <v>Departamento Específico</v>
      </c>
      <c r="L16" s="63"/>
      <c r="M16" s="63"/>
      <c r="N16" s="63"/>
      <c r="O16" s="40"/>
      <c r="P16" s="19"/>
      <c r="Q16" s="15"/>
    </row>
    <row r="17" spans="1:18" ht="30" customHeight="1">
      <c r="A17" s="15"/>
      <c r="B17" s="20"/>
      <c r="C17" s="24" t="s">
        <v>182</v>
      </c>
      <c r="D17" s="62" t="str">
        <f>IF($F$14="","",VLOOKUP(F14,ListaPMOs!A:D,4,FALSE))</f>
        <v>BSc</v>
      </c>
      <c r="E17" s="63"/>
      <c r="F17" s="63"/>
      <c r="G17" s="63"/>
      <c r="H17" s="15"/>
      <c r="I17" s="15"/>
      <c r="J17" s="24" t="s">
        <v>198</v>
      </c>
      <c r="K17" s="62" t="str">
        <f>IF($F$14="","",_xlfn.CONCAT(VLOOKUP(F14,ListaPMOs!A:K,11,FALSE)," de 5"))</f>
        <v>2 de 5</v>
      </c>
      <c r="L17" s="63"/>
      <c r="M17" s="63"/>
      <c r="N17" s="63"/>
      <c r="O17" s="40"/>
      <c r="P17" s="19"/>
      <c r="Q17" s="15"/>
    </row>
    <row r="18" spans="1:18" ht="30" customHeight="1">
      <c r="A18" s="15"/>
      <c r="B18" s="20"/>
      <c r="C18" s="24" t="s">
        <v>181</v>
      </c>
      <c r="D18" s="62" t="str">
        <f>IF($F$14="","",VLOOKUP(F14,ListaPMOs!A:F,5,FALSE))</f>
        <v>Entre 2 y 5 años</v>
      </c>
      <c r="E18" s="63"/>
      <c r="F18" s="63"/>
      <c r="G18" s="63"/>
      <c r="H18" s="15"/>
      <c r="I18" s="15"/>
      <c r="J18" s="24" t="s">
        <v>199</v>
      </c>
      <c r="K18" s="62" t="str">
        <f>IF($F$14="","",_xlfn.CONCAT(VLOOKUP(F14,ListaPMOs!A:M,13,FALSE)," de 5"))</f>
        <v>5 de 5</v>
      </c>
      <c r="L18" s="63"/>
      <c r="M18" s="63"/>
      <c r="N18" s="63"/>
      <c r="O18" s="40"/>
      <c r="P18" s="19"/>
      <c r="Q18" s="15"/>
    </row>
    <row r="19" spans="1:18" ht="24" customHeight="1">
      <c r="A19" s="15"/>
      <c r="B19" s="20"/>
      <c r="C19" s="15"/>
      <c r="D19" s="15"/>
      <c r="E19" s="15"/>
      <c r="F19" s="15" t="s">
        <v>126</v>
      </c>
      <c r="G19" s="15"/>
      <c r="H19" s="15"/>
      <c r="I19" s="15"/>
      <c r="J19" s="15"/>
      <c r="K19" s="15"/>
      <c r="L19" s="15"/>
      <c r="M19" s="15"/>
      <c r="N19" s="15"/>
      <c r="O19" s="15"/>
      <c r="P19" s="19"/>
      <c r="Q19" s="15"/>
    </row>
    <row r="20" spans="1:18" ht="45" customHeight="1" thickBot="1">
      <c r="A20" s="15"/>
      <c r="B20" s="20"/>
      <c r="C20" s="15"/>
      <c r="D20" s="15"/>
      <c r="E20" s="15"/>
      <c r="F20" s="15"/>
      <c r="G20" s="15" t="s">
        <v>126</v>
      </c>
      <c r="H20" s="15"/>
      <c r="I20" s="15"/>
      <c r="J20" s="15" t="s">
        <v>126</v>
      </c>
      <c r="K20" s="15"/>
      <c r="L20" s="15"/>
      <c r="M20" s="15"/>
      <c r="N20" s="15"/>
      <c r="O20" s="15"/>
      <c r="P20" s="19"/>
      <c r="Q20" s="15"/>
      <c r="R20" s="42"/>
    </row>
    <row r="21" spans="1:18" ht="45" customHeight="1">
      <c r="A21" s="15"/>
      <c r="B21" s="20"/>
      <c r="C21" s="66" t="str">
        <f>IF($F$14="","",_xlfn.CONCAT("Puntuación ",VLOOKUP(F14,ListaPMOs!A:AV,36,FALSE)," /5"))</f>
        <v>Puntuación 3.2 /5</v>
      </c>
      <c r="D21" s="69" t="s">
        <v>189</v>
      </c>
      <c r="E21" s="65"/>
      <c r="F21" s="65"/>
      <c r="G21" s="70"/>
      <c r="H21" s="15"/>
      <c r="I21" s="15"/>
      <c r="J21" s="64" t="s">
        <v>192</v>
      </c>
      <c r="K21" s="65"/>
      <c r="L21" s="65"/>
      <c r="M21" s="65"/>
      <c r="N21" s="65"/>
      <c r="O21" s="65"/>
      <c r="P21" s="19"/>
      <c r="Q21" s="15"/>
      <c r="R21" s="42" t="s">
        <v>126</v>
      </c>
    </row>
    <row r="22" spans="1:18" ht="45" customHeight="1">
      <c r="A22" s="15"/>
      <c r="B22" s="20"/>
      <c r="C22" s="67"/>
      <c r="D22" s="71" t="s">
        <v>194</v>
      </c>
      <c r="E22" s="72"/>
      <c r="F22" s="72"/>
      <c r="G22" s="73"/>
      <c r="H22" s="15"/>
      <c r="I22" s="15"/>
      <c r="J22" s="55" t="s">
        <v>238</v>
      </c>
      <c r="K22" s="56"/>
      <c r="L22" s="56"/>
      <c r="M22" s="56"/>
      <c r="N22" s="56"/>
      <c r="O22" s="57"/>
      <c r="P22" s="19"/>
      <c r="Q22" s="15"/>
    </row>
    <row r="23" spans="1:18" ht="45" customHeight="1">
      <c r="A23" s="15"/>
      <c r="B23" s="20"/>
      <c r="C23" s="67"/>
      <c r="D23" s="72"/>
      <c r="E23" s="72"/>
      <c r="F23" s="72"/>
      <c r="G23" s="73"/>
      <c r="H23" s="15"/>
      <c r="I23" s="15"/>
      <c r="J23" s="55"/>
      <c r="K23" s="56"/>
      <c r="L23" s="56"/>
      <c r="M23" s="56"/>
      <c r="N23" s="56"/>
      <c r="O23" s="57"/>
      <c r="P23" s="19"/>
      <c r="Q23" s="15"/>
    </row>
    <row r="24" spans="1:18" ht="45" customHeight="1">
      <c r="A24" s="15"/>
      <c r="B24" s="20"/>
      <c r="C24" s="67"/>
      <c r="D24" s="72"/>
      <c r="E24" s="72"/>
      <c r="F24" s="72"/>
      <c r="G24" s="73"/>
      <c r="H24" s="15"/>
      <c r="I24" s="15"/>
      <c r="J24" s="55"/>
      <c r="K24" s="56"/>
      <c r="L24" s="56"/>
      <c r="M24" s="56"/>
      <c r="N24" s="56"/>
      <c r="O24" s="57"/>
      <c r="P24" s="19"/>
      <c r="Q24" s="15"/>
    </row>
    <row r="25" spans="1:18" ht="45" customHeight="1">
      <c r="A25" s="15"/>
      <c r="B25" s="20"/>
      <c r="C25" s="67"/>
      <c r="D25" s="72"/>
      <c r="E25" s="72"/>
      <c r="F25" s="72"/>
      <c r="G25" s="73"/>
      <c r="H25" s="15"/>
      <c r="I25" s="15"/>
      <c r="J25" s="55"/>
      <c r="K25" s="56"/>
      <c r="L25" s="56"/>
      <c r="M25" s="56"/>
      <c r="N25" s="56"/>
      <c r="O25" s="57"/>
      <c r="P25" s="19"/>
      <c r="Q25" s="15"/>
    </row>
    <row r="26" spans="1:18" ht="45" customHeight="1" thickBot="1">
      <c r="A26" s="15"/>
      <c r="B26" s="20"/>
      <c r="C26" s="68"/>
      <c r="D26" s="72"/>
      <c r="E26" s="72"/>
      <c r="F26" s="72"/>
      <c r="G26" s="73"/>
      <c r="H26" s="15"/>
      <c r="I26" s="15"/>
      <c r="J26" s="55"/>
      <c r="K26" s="56"/>
      <c r="L26" s="56"/>
      <c r="M26" s="56"/>
      <c r="N26" s="56"/>
      <c r="O26" s="57"/>
      <c r="P26" s="19"/>
      <c r="Q26" s="15"/>
    </row>
    <row r="27" spans="1:18" ht="45" customHeight="1">
      <c r="A27" s="15"/>
      <c r="B27" s="20"/>
      <c r="C27" s="66" t="str">
        <f>IF($F$14="","",_xlfn.CONCAT("Puntuación ",VLOOKUP(F14,ListaPMOs!A:AV,42,FALSE)," /5"))</f>
        <v>Puntuación 3.2 /5</v>
      </c>
      <c r="D27" s="69" t="s">
        <v>190</v>
      </c>
      <c r="E27" s="65"/>
      <c r="F27" s="65"/>
      <c r="G27" s="70"/>
      <c r="H27" s="15"/>
      <c r="I27" s="15"/>
      <c r="J27" s="55"/>
      <c r="K27" s="56"/>
      <c r="L27" s="56"/>
      <c r="M27" s="56"/>
      <c r="N27" s="56"/>
      <c r="O27" s="57"/>
      <c r="P27" s="19"/>
      <c r="Q27" s="15"/>
    </row>
    <row r="28" spans="1:18" ht="45" customHeight="1">
      <c r="A28" s="15"/>
      <c r="B28" s="20"/>
      <c r="C28" s="67"/>
      <c r="D28" s="71" t="s">
        <v>195</v>
      </c>
      <c r="E28" s="72"/>
      <c r="F28" s="72"/>
      <c r="G28" s="73"/>
      <c r="H28" s="15"/>
      <c r="I28" s="15"/>
      <c r="J28" s="55"/>
      <c r="K28" s="56"/>
      <c r="L28" s="56"/>
      <c r="M28" s="56"/>
      <c r="N28" s="56"/>
      <c r="O28" s="57"/>
      <c r="P28" s="19"/>
      <c r="Q28" s="15"/>
      <c r="R28" s="14" t="s">
        <v>126</v>
      </c>
    </row>
    <row r="29" spans="1:18" ht="45" customHeight="1">
      <c r="A29" s="15"/>
      <c r="B29" s="20"/>
      <c r="C29" s="67"/>
      <c r="D29" s="72"/>
      <c r="E29" s="72"/>
      <c r="F29" s="72"/>
      <c r="G29" s="73"/>
      <c r="H29" s="15"/>
      <c r="I29" s="15"/>
      <c r="J29" s="55"/>
      <c r="K29" s="56"/>
      <c r="L29" s="56"/>
      <c r="M29" s="56"/>
      <c r="N29" s="56"/>
      <c r="O29" s="57"/>
      <c r="P29" s="19"/>
      <c r="Q29" s="15"/>
    </row>
    <row r="30" spans="1:18" ht="45" customHeight="1">
      <c r="A30" s="15"/>
      <c r="B30" s="20"/>
      <c r="C30" s="67"/>
      <c r="D30" s="72"/>
      <c r="E30" s="72"/>
      <c r="F30" s="72"/>
      <c r="G30" s="73"/>
      <c r="H30" s="15"/>
      <c r="I30" s="15"/>
      <c r="J30" s="55"/>
      <c r="K30" s="56"/>
      <c r="L30" s="56"/>
      <c r="M30" s="56"/>
      <c r="N30" s="56"/>
      <c r="O30" s="57"/>
      <c r="P30" s="19"/>
      <c r="Q30" s="15"/>
    </row>
    <row r="31" spans="1:18" ht="45" customHeight="1">
      <c r="A31" s="15"/>
      <c r="B31" s="20"/>
      <c r="C31" s="67"/>
      <c r="D31" s="72"/>
      <c r="E31" s="72"/>
      <c r="F31" s="72"/>
      <c r="G31" s="73"/>
      <c r="H31" s="15"/>
      <c r="I31" s="15"/>
      <c r="J31" s="58"/>
      <c r="K31" s="59"/>
      <c r="L31" s="59"/>
      <c r="M31" s="59"/>
      <c r="N31" s="59"/>
      <c r="O31" s="60"/>
      <c r="P31" s="19"/>
      <c r="Q31" s="15"/>
    </row>
    <row r="32" spans="1:18" ht="45" customHeight="1" thickBot="1">
      <c r="A32" s="15"/>
      <c r="B32" s="20"/>
      <c r="C32" s="68"/>
      <c r="D32" s="72"/>
      <c r="E32" s="72"/>
      <c r="F32" s="72"/>
      <c r="G32" s="73"/>
      <c r="H32" s="15"/>
      <c r="I32" s="15"/>
      <c r="J32" s="15"/>
      <c r="K32" s="15"/>
      <c r="L32" s="15"/>
      <c r="M32" s="15"/>
      <c r="N32" s="15"/>
      <c r="O32" s="15"/>
      <c r="P32" s="19"/>
      <c r="Q32" s="15"/>
    </row>
    <row r="33" spans="1:263" ht="45" customHeight="1">
      <c r="A33" s="15"/>
      <c r="B33" s="20"/>
      <c r="C33" s="66" t="str">
        <f>IF($F$14="","",_xlfn.CONCAT("Puntuación ",VLOOKUP(F14,ListaPMOs!A:AV,48,FALSE)," /5"))</f>
        <v>Puntuación 4 /5</v>
      </c>
      <c r="D33" s="69" t="s">
        <v>191</v>
      </c>
      <c r="E33" s="65"/>
      <c r="F33" s="65"/>
      <c r="G33" s="70"/>
      <c r="H33" s="15"/>
      <c r="I33" s="15"/>
      <c r="J33" s="64" t="s">
        <v>193</v>
      </c>
      <c r="K33" s="65"/>
      <c r="L33" s="65"/>
      <c r="M33" s="65"/>
      <c r="N33" s="65"/>
      <c r="O33" s="65"/>
      <c r="P33" s="19"/>
      <c r="Q33" s="15"/>
    </row>
    <row r="34" spans="1:263" ht="45" customHeight="1">
      <c r="A34" s="15"/>
      <c r="B34" s="20"/>
      <c r="C34" s="67"/>
      <c r="D34" s="71" t="s">
        <v>196</v>
      </c>
      <c r="E34" s="72"/>
      <c r="F34" s="72"/>
      <c r="G34" s="73"/>
      <c r="H34" s="15"/>
      <c r="I34" s="15"/>
      <c r="J34" s="49" t="s">
        <v>240</v>
      </c>
      <c r="K34" s="50"/>
      <c r="L34" s="50"/>
      <c r="M34" s="50"/>
      <c r="N34" s="50"/>
      <c r="O34" s="51"/>
      <c r="P34" s="19"/>
      <c r="Q34" s="15"/>
    </row>
    <row r="35" spans="1:263" ht="45" customHeight="1">
      <c r="A35" s="15"/>
      <c r="B35" s="20"/>
      <c r="C35" s="67"/>
      <c r="D35" s="72"/>
      <c r="E35" s="72"/>
      <c r="F35" s="72"/>
      <c r="G35" s="73"/>
      <c r="H35" s="15"/>
      <c r="I35" s="15"/>
      <c r="J35" s="49"/>
      <c r="K35" s="50"/>
      <c r="L35" s="50"/>
      <c r="M35" s="50"/>
      <c r="N35" s="50"/>
      <c r="O35" s="51"/>
      <c r="P35" s="19"/>
      <c r="Q35" s="15"/>
    </row>
    <row r="36" spans="1:263" ht="45" customHeight="1">
      <c r="A36" s="15"/>
      <c r="B36" s="20"/>
      <c r="C36" s="67"/>
      <c r="D36" s="72"/>
      <c r="E36" s="72"/>
      <c r="F36" s="72"/>
      <c r="G36" s="73"/>
      <c r="H36" s="15"/>
      <c r="I36" s="15"/>
      <c r="J36" s="49"/>
      <c r="K36" s="50"/>
      <c r="L36" s="50"/>
      <c r="M36" s="50"/>
      <c r="N36" s="50"/>
      <c r="O36" s="51"/>
      <c r="P36" s="19"/>
      <c r="Q36" s="15"/>
    </row>
    <row r="37" spans="1:263" ht="45" customHeight="1">
      <c r="A37" s="15"/>
      <c r="B37" s="20"/>
      <c r="C37" s="67"/>
      <c r="D37" s="72"/>
      <c r="E37" s="72"/>
      <c r="F37" s="72"/>
      <c r="G37" s="73"/>
      <c r="H37" s="15"/>
      <c r="I37" s="15"/>
      <c r="J37" s="49"/>
      <c r="K37" s="50"/>
      <c r="L37" s="50"/>
      <c r="M37" s="50"/>
      <c r="N37" s="50"/>
      <c r="O37" s="51"/>
      <c r="P37" s="19"/>
      <c r="Q37" s="15"/>
    </row>
    <row r="38" spans="1:263" ht="45" customHeight="1" thickBot="1">
      <c r="A38" s="15"/>
      <c r="B38" s="20"/>
      <c r="C38" s="68"/>
      <c r="D38" s="74"/>
      <c r="E38" s="74"/>
      <c r="F38" s="74"/>
      <c r="G38" s="75"/>
      <c r="H38" s="15"/>
      <c r="I38" s="15"/>
      <c r="J38" s="52"/>
      <c r="K38" s="53"/>
      <c r="L38" s="53"/>
      <c r="M38" s="53"/>
      <c r="N38" s="53"/>
      <c r="O38" s="54"/>
      <c r="P38" s="19"/>
      <c r="Q38" s="15"/>
    </row>
    <row r="39" spans="1:263" ht="35" customHeight="1">
      <c r="A39" s="15"/>
      <c r="B39" s="20"/>
      <c r="C39" s="15"/>
      <c r="D39" s="15"/>
      <c r="E39" s="15"/>
      <c r="F39" s="15"/>
      <c r="G39" s="15" t="s">
        <v>126</v>
      </c>
      <c r="H39" s="15"/>
      <c r="I39" s="15"/>
      <c r="J39" s="41"/>
      <c r="K39" s="41"/>
      <c r="L39" s="41"/>
      <c r="M39" s="41"/>
      <c r="N39" s="41"/>
      <c r="O39" s="41"/>
      <c r="P39" s="19"/>
      <c r="Q39" s="15"/>
    </row>
    <row r="40" spans="1:263" ht="35" customHeight="1">
      <c r="A40" s="15"/>
      <c r="B40" s="20"/>
      <c r="C40" s="61" t="s">
        <v>197</v>
      </c>
      <c r="D40" s="61"/>
      <c r="E40" s="61"/>
      <c r="F40" s="61"/>
      <c r="G40" s="61"/>
      <c r="H40" s="61"/>
      <c r="I40" s="61"/>
      <c r="J40" s="61"/>
      <c r="K40" s="61"/>
      <c r="L40" s="61"/>
      <c r="M40" s="61"/>
      <c r="N40" s="61"/>
      <c r="O40" s="61"/>
      <c r="P40" s="19"/>
      <c r="Q40" s="15"/>
    </row>
    <row r="41" spans="1:263" ht="35" customHeight="1">
      <c r="A41" s="15"/>
      <c r="B41" s="20"/>
      <c r="C41" s="124" t="s">
        <v>239</v>
      </c>
      <c r="D41" s="125"/>
      <c r="E41" s="125"/>
      <c r="F41" s="125"/>
      <c r="G41" s="125"/>
      <c r="H41" s="125"/>
      <c r="I41" s="125"/>
      <c r="J41" s="125"/>
      <c r="K41" s="125"/>
      <c r="L41" s="125"/>
      <c r="M41" s="125"/>
      <c r="N41" s="125"/>
      <c r="O41" s="128"/>
      <c r="P41" s="19"/>
      <c r="Q41" s="15"/>
      <c r="JC41" s="46" t="s">
        <v>237</v>
      </c>
    </row>
    <row r="42" spans="1:263" ht="35" customHeight="1">
      <c r="A42" s="15"/>
      <c r="B42" s="20"/>
      <c r="C42" s="124"/>
      <c r="D42" s="125"/>
      <c r="E42" s="125"/>
      <c r="F42" s="125"/>
      <c r="G42" s="125"/>
      <c r="H42" s="125"/>
      <c r="I42" s="125"/>
      <c r="J42" s="125"/>
      <c r="K42" s="125"/>
      <c r="L42" s="125"/>
      <c r="M42" s="125"/>
      <c r="N42" s="125"/>
      <c r="O42" s="128"/>
      <c r="P42" s="19"/>
      <c r="Q42" s="15"/>
    </row>
    <row r="43" spans="1:263" ht="35" customHeight="1">
      <c r="A43" s="15"/>
      <c r="B43" s="20"/>
      <c r="C43" s="124"/>
      <c r="D43" s="125"/>
      <c r="E43" s="125"/>
      <c r="F43" s="125"/>
      <c r="G43" s="125"/>
      <c r="H43" s="125"/>
      <c r="I43" s="125"/>
      <c r="J43" s="125"/>
      <c r="K43" s="125"/>
      <c r="L43" s="125"/>
      <c r="M43" s="125"/>
      <c r="N43" s="125"/>
      <c r="O43" s="128"/>
      <c r="P43" s="19"/>
      <c r="Q43" s="15"/>
    </row>
    <row r="44" spans="1:263" ht="35" customHeight="1">
      <c r="A44" s="15"/>
      <c r="B44" s="20"/>
      <c r="C44" s="124"/>
      <c r="D44" s="125"/>
      <c r="E44" s="125"/>
      <c r="F44" s="125"/>
      <c r="G44" s="125"/>
      <c r="H44" s="125"/>
      <c r="I44" s="125"/>
      <c r="J44" s="125"/>
      <c r="K44" s="125"/>
      <c r="L44" s="125"/>
      <c r="M44" s="125"/>
      <c r="N44" s="125"/>
      <c r="O44" s="128"/>
      <c r="P44" s="19"/>
      <c r="Q44" s="15"/>
    </row>
    <row r="45" spans="1:263" ht="35" customHeight="1">
      <c r="A45" s="15"/>
      <c r="B45" s="20"/>
      <c r="C45" s="121"/>
      <c r="D45" s="121"/>
      <c r="E45" s="122"/>
      <c r="F45" s="122"/>
      <c r="G45" s="122"/>
      <c r="H45" s="121"/>
      <c r="I45" s="121"/>
      <c r="J45" s="123"/>
      <c r="K45" s="123"/>
      <c r="L45" s="123"/>
      <c r="M45" s="123"/>
      <c r="N45" s="123"/>
      <c r="O45" s="123"/>
      <c r="P45" s="19"/>
      <c r="Q45" s="15"/>
    </row>
    <row r="46" spans="1:263" ht="35" customHeight="1">
      <c r="A46" s="15"/>
      <c r="B46" s="20"/>
      <c r="C46" s="61" t="s">
        <v>236</v>
      </c>
      <c r="D46" s="61"/>
      <c r="E46" s="61"/>
      <c r="F46" s="61"/>
      <c r="G46" s="61"/>
      <c r="H46" s="61"/>
      <c r="I46" s="61"/>
      <c r="J46" s="61"/>
      <c r="K46" s="61"/>
      <c r="L46" s="61"/>
      <c r="M46" s="61"/>
      <c r="N46" s="61"/>
      <c r="O46" s="61"/>
      <c r="P46" s="19"/>
      <c r="Q46" s="15"/>
    </row>
    <row r="47" spans="1:263" ht="35" customHeight="1">
      <c r="A47" s="15"/>
      <c r="B47" s="20"/>
      <c r="C47" s="124" t="s">
        <v>241</v>
      </c>
      <c r="D47" s="125"/>
      <c r="E47" s="125"/>
      <c r="F47" s="125"/>
      <c r="G47" s="125"/>
      <c r="H47" s="125"/>
      <c r="I47" s="125"/>
      <c r="J47" s="125"/>
      <c r="K47" s="125"/>
      <c r="L47" s="125"/>
      <c r="M47" s="125"/>
      <c r="N47" s="125"/>
      <c r="O47" s="125"/>
      <c r="P47" s="19"/>
      <c r="Q47" s="15"/>
    </row>
    <row r="48" spans="1:263" ht="35" customHeight="1">
      <c r="A48" s="15"/>
      <c r="B48" s="20"/>
      <c r="C48" s="124"/>
      <c r="D48" s="125"/>
      <c r="E48" s="125"/>
      <c r="F48" s="125"/>
      <c r="G48" s="125"/>
      <c r="H48" s="125"/>
      <c r="I48" s="125"/>
      <c r="J48" s="125"/>
      <c r="K48" s="125"/>
      <c r="L48" s="125"/>
      <c r="M48" s="125"/>
      <c r="N48" s="125"/>
      <c r="O48" s="125"/>
      <c r="P48" s="19"/>
      <c r="Q48" s="15"/>
    </row>
    <row r="49" spans="1:17" ht="35" customHeight="1">
      <c r="A49" s="15"/>
      <c r="B49" s="20"/>
      <c r="C49" s="124"/>
      <c r="D49" s="125"/>
      <c r="E49" s="125"/>
      <c r="F49" s="125"/>
      <c r="G49" s="125"/>
      <c r="H49" s="125"/>
      <c r="I49" s="125"/>
      <c r="J49" s="125"/>
      <c r="K49" s="125"/>
      <c r="L49" s="125"/>
      <c r="M49" s="125"/>
      <c r="N49" s="125"/>
      <c r="O49" s="125"/>
      <c r="P49" s="19"/>
      <c r="Q49" s="15"/>
    </row>
    <row r="50" spans="1:17" ht="35" customHeight="1">
      <c r="A50" s="15"/>
      <c r="B50" s="20"/>
      <c r="C50" s="124"/>
      <c r="D50" s="125"/>
      <c r="E50" s="125"/>
      <c r="F50" s="125"/>
      <c r="G50" s="125"/>
      <c r="H50" s="125"/>
      <c r="I50" s="125"/>
      <c r="J50" s="125"/>
      <c r="K50" s="125"/>
      <c r="L50" s="125"/>
      <c r="M50" s="125"/>
      <c r="N50" s="125"/>
      <c r="O50" s="125"/>
      <c r="P50" s="19"/>
      <c r="Q50" s="15"/>
    </row>
    <row r="51" spans="1:17" ht="35" customHeight="1">
      <c r="A51" s="15"/>
      <c r="B51" s="20"/>
      <c r="C51" s="124"/>
      <c r="D51" s="125"/>
      <c r="E51" s="125"/>
      <c r="F51" s="125"/>
      <c r="G51" s="125"/>
      <c r="H51" s="125"/>
      <c r="I51" s="125"/>
      <c r="J51" s="125"/>
      <c r="K51" s="125"/>
      <c r="L51" s="125"/>
      <c r="M51" s="125"/>
      <c r="N51" s="125"/>
      <c r="O51" s="125"/>
      <c r="P51" s="19"/>
      <c r="Q51" s="15"/>
    </row>
    <row r="52" spans="1:17" ht="35" customHeight="1">
      <c r="A52" s="15"/>
      <c r="B52" s="20"/>
      <c r="C52" s="124"/>
      <c r="D52" s="125"/>
      <c r="E52" s="125"/>
      <c r="F52" s="125"/>
      <c r="G52" s="125"/>
      <c r="H52" s="125"/>
      <c r="I52" s="125"/>
      <c r="J52" s="125"/>
      <c r="K52" s="125"/>
      <c r="L52" s="125"/>
      <c r="M52" s="125"/>
      <c r="N52" s="125"/>
      <c r="O52" s="125"/>
      <c r="P52" s="19"/>
      <c r="Q52" s="15"/>
    </row>
    <row r="53" spans="1:17" ht="35" customHeight="1">
      <c r="A53" s="15"/>
      <c r="B53" s="20"/>
      <c r="C53" s="124"/>
      <c r="D53" s="125"/>
      <c r="E53" s="125"/>
      <c r="F53" s="125"/>
      <c r="G53" s="125"/>
      <c r="H53" s="125"/>
      <c r="I53" s="125"/>
      <c r="J53" s="125"/>
      <c r="K53" s="125"/>
      <c r="L53" s="125"/>
      <c r="M53" s="125"/>
      <c r="N53" s="125"/>
      <c r="O53" s="125"/>
      <c r="P53" s="19"/>
      <c r="Q53" s="15"/>
    </row>
    <row r="54" spans="1:17" ht="35" customHeight="1">
      <c r="A54" s="15"/>
      <c r="B54" s="20"/>
      <c r="C54" s="124"/>
      <c r="D54" s="125"/>
      <c r="E54" s="125"/>
      <c r="F54" s="125"/>
      <c r="G54" s="125"/>
      <c r="H54" s="125"/>
      <c r="I54" s="125"/>
      <c r="J54" s="125"/>
      <c r="K54" s="125"/>
      <c r="L54" s="125"/>
      <c r="M54" s="125"/>
      <c r="N54" s="125"/>
      <c r="O54" s="125"/>
      <c r="P54" s="19"/>
      <c r="Q54" s="15"/>
    </row>
    <row r="55" spans="1:17" ht="35" customHeight="1">
      <c r="A55" s="15"/>
      <c r="B55" s="20"/>
      <c r="C55" s="126"/>
      <c r="D55" s="127"/>
      <c r="E55" s="127"/>
      <c r="F55" s="127"/>
      <c r="G55" s="127"/>
      <c r="H55" s="127"/>
      <c r="I55" s="127"/>
      <c r="J55" s="127"/>
      <c r="K55" s="127"/>
      <c r="L55" s="127"/>
      <c r="M55" s="127"/>
      <c r="N55" s="127"/>
      <c r="O55" s="127"/>
      <c r="P55" s="19"/>
      <c r="Q55" s="15"/>
    </row>
    <row r="56" spans="1:17" ht="35" customHeight="1">
      <c r="A56" s="15"/>
      <c r="B56" s="18"/>
      <c r="C56" s="17"/>
      <c r="D56" s="17"/>
      <c r="E56" s="17"/>
      <c r="F56" s="17"/>
      <c r="G56" s="17"/>
      <c r="H56" s="17"/>
      <c r="I56" s="17"/>
      <c r="J56" s="17"/>
      <c r="K56" s="17"/>
      <c r="L56" s="17"/>
      <c r="M56" s="17"/>
      <c r="N56" s="17"/>
      <c r="O56" s="17"/>
      <c r="P56" s="16"/>
      <c r="Q56" s="15"/>
    </row>
    <row r="57" spans="1:17" ht="24" customHeight="1">
      <c r="A57" s="15"/>
      <c r="B57" s="15"/>
      <c r="C57" s="15"/>
      <c r="D57" s="15"/>
      <c r="E57" s="15"/>
      <c r="F57" s="15"/>
      <c r="G57" s="15"/>
      <c r="H57" s="15"/>
      <c r="I57" s="15"/>
      <c r="J57" s="15"/>
      <c r="K57" s="15"/>
      <c r="L57" s="15"/>
      <c r="M57" s="15"/>
      <c r="N57" s="15"/>
      <c r="O57" s="15"/>
      <c r="P57" s="15"/>
      <c r="Q57" s="15"/>
    </row>
    <row r="58" spans="1:17" ht="24" customHeight="1">
      <c r="A58" s="15"/>
      <c r="B58" s="15"/>
      <c r="C58" s="15"/>
      <c r="D58" s="15"/>
      <c r="E58" s="15"/>
      <c r="F58" s="15"/>
      <c r="G58" s="15"/>
      <c r="H58" s="15"/>
      <c r="I58" s="15"/>
      <c r="J58" s="15"/>
      <c r="K58" s="15"/>
      <c r="L58" s="15"/>
      <c r="M58" s="15"/>
      <c r="N58" s="15"/>
      <c r="O58" s="15"/>
      <c r="P58" s="15"/>
      <c r="Q58" s="15"/>
    </row>
    <row r="59" spans="1:17" ht="24" customHeight="1">
      <c r="A59" s="15"/>
      <c r="B59" s="15"/>
      <c r="C59" s="15"/>
      <c r="D59" s="15"/>
      <c r="E59" s="15"/>
      <c r="F59" s="15"/>
      <c r="G59" s="15"/>
      <c r="H59" s="15"/>
      <c r="I59" s="15"/>
      <c r="J59" s="15"/>
      <c r="K59" s="15"/>
      <c r="L59" s="15"/>
      <c r="M59" s="15"/>
      <c r="N59" s="15"/>
      <c r="O59" s="15" t="s">
        <v>126</v>
      </c>
      <c r="P59" s="15"/>
      <c r="Q59" s="15"/>
    </row>
  </sheetData>
  <mergeCells count="34">
    <mergeCell ref="C47:O55"/>
    <mergeCell ref="C46:O46"/>
    <mergeCell ref="C21:C26"/>
    <mergeCell ref="D21:G21"/>
    <mergeCell ref="J21:O21"/>
    <mergeCell ref="D22:G26"/>
    <mergeCell ref="B2:P3"/>
    <mergeCell ref="B5:P5"/>
    <mergeCell ref="C13:G13"/>
    <mergeCell ref="D15:G15"/>
    <mergeCell ref="K12:N12"/>
    <mergeCell ref="J8:O11"/>
    <mergeCell ref="J13:O13"/>
    <mergeCell ref="C7:H11"/>
    <mergeCell ref="D18:G18"/>
    <mergeCell ref="J7:O7"/>
    <mergeCell ref="D16:G16"/>
    <mergeCell ref="D17:G17"/>
    <mergeCell ref="C27:C32"/>
    <mergeCell ref="D27:G27"/>
    <mergeCell ref="D28:G32"/>
    <mergeCell ref="C33:C38"/>
    <mergeCell ref="D33:G33"/>
    <mergeCell ref="D34:G38"/>
    <mergeCell ref="C40:O40"/>
    <mergeCell ref="J34:O38"/>
    <mergeCell ref="J22:O31"/>
    <mergeCell ref="K14:N14"/>
    <mergeCell ref="K15:N15"/>
    <mergeCell ref="K16:N16"/>
    <mergeCell ref="K17:N17"/>
    <mergeCell ref="K18:N18"/>
    <mergeCell ref="J33:O33"/>
    <mergeCell ref="C41:O44"/>
  </mergeCells>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xr:uid="{8CBC9580-99F5-ED49-A39F-96DA54A6AE53}">
          <x14:formula1>
            <xm:f>ListaPMOs!$A$3:$A$106</xm:f>
          </x14:formula1>
          <xm:sqref>E14:F14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7AEC5-FBF5-FE48-B0CC-893FC685D366}">
  <sheetPr codeName="Sheet3"/>
  <dimension ref="C3:G7"/>
  <sheetViews>
    <sheetView workbookViewId="0">
      <selection activeCell="G7" sqref="G7"/>
    </sheetView>
  </sheetViews>
  <sheetFormatPr baseColWidth="10" defaultRowHeight="15"/>
  <cols>
    <col min="3" max="3" width="29.5" customWidth="1"/>
    <col min="4" max="4" width="37" customWidth="1"/>
    <col min="5" max="5" width="38.6640625" customWidth="1"/>
    <col min="6" max="6" width="25.1640625" customWidth="1"/>
    <col min="7" max="7" width="35.83203125" customWidth="1"/>
  </cols>
  <sheetData>
    <row r="3" spans="3:7">
      <c r="D3" s="47" t="s">
        <v>162</v>
      </c>
      <c r="E3" s="48"/>
      <c r="F3" s="48"/>
      <c r="G3" s="48"/>
    </row>
    <row r="4" spans="3:7">
      <c r="D4" s="48"/>
      <c r="E4" s="48"/>
      <c r="F4" s="48"/>
      <c r="G4" s="48"/>
    </row>
    <row r="6" spans="3:7" ht="57">
      <c r="C6" s="37" t="s">
        <v>157</v>
      </c>
      <c r="D6" s="37" t="s">
        <v>158</v>
      </c>
      <c r="E6" s="37" t="s">
        <v>159</v>
      </c>
      <c r="F6" s="37" t="s">
        <v>160</v>
      </c>
      <c r="G6" s="37" t="s">
        <v>161</v>
      </c>
    </row>
    <row r="7" spans="3:7" ht="409.6">
      <c r="C7" s="2" t="s">
        <v>203</v>
      </c>
      <c r="D7" s="2" t="s">
        <v>204</v>
      </c>
      <c r="E7" s="2" t="s">
        <v>205</v>
      </c>
      <c r="F7" s="2" t="s">
        <v>206</v>
      </c>
      <c r="G7" s="2" t="s">
        <v>207</v>
      </c>
    </row>
  </sheetData>
  <mergeCells count="1">
    <mergeCell ref="D3:G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BB643-F9E6-6147-9CEA-751F39A2874A}">
  <sheetPr codeName="Sheet5"/>
  <dimension ref="B3:O31"/>
  <sheetViews>
    <sheetView topLeftCell="A7" zoomScale="90" zoomScaleNormal="90" workbookViewId="0">
      <selection activeCell="D15" sqref="D15"/>
    </sheetView>
  </sheetViews>
  <sheetFormatPr baseColWidth="10" defaultRowHeight="15"/>
  <cols>
    <col min="2" max="2" width="12.33203125" customWidth="1"/>
    <col min="3" max="3" width="31" customWidth="1"/>
    <col min="4" max="4" width="29.83203125" customWidth="1"/>
    <col min="5" max="5" width="26.5" customWidth="1"/>
    <col min="6" max="6" width="23" customWidth="1"/>
    <col min="7" max="7" width="27.33203125" customWidth="1"/>
    <col min="8" max="8" width="26.83203125" customWidth="1"/>
  </cols>
  <sheetData>
    <row r="3" spans="2:15" ht="15" customHeight="1"/>
    <row r="4" spans="2:15" ht="22" customHeight="1"/>
    <row r="5" spans="2:15">
      <c r="D5" s="47" t="s">
        <v>115</v>
      </c>
      <c r="E5" s="48"/>
      <c r="F5" s="48"/>
      <c r="G5" s="48"/>
    </row>
    <row r="6" spans="2:15">
      <c r="D6" s="48"/>
      <c r="E6" s="48"/>
      <c r="F6" s="48"/>
      <c r="G6" s="48"/>
    </row>
    <row r="8" spans="2:15" ht="43" customHeight="1">
      <c r="B8" s="2" t="s">
        <v>126</v>
      </c>
      <c r="C8" s="2" t="s">
        <v>116</v>
      </c>
      <c r="D8" s="2" t="s">
        <v>117</v>
      </c>
      <c r="E8" s="2" t="s">
        <v>119</v>
      </c>
      <c r="F8" s="2" t="s">
        <v>120</v>
      </c>
      <c r="G8" s="2" t="s">
        <v>121</v>
      </c>
      <c r="H8" s="2" t="s">
        <v>122</v>
      </c>
      <c r="I8" s="2"/>
      <c r="J8" s="2"/>
      <c r="K8" s="2"/>
      <c r="L8" s="2"/>
      <c r="M8" s="2"/>
      <c r="N8" s="2"/>
      <c r="O8" s="2"/>
    </row>
    <row r="9" spans="2:15" ht="96">
      <c r="B9" s="36" t="s">
        <v>35</v>
      </c>
      <c r="C9" s="35" t="s">
        <v>212</v>
      </c>
      <c r="D9" s="35" t="s">
        <v>208</v>
      </c>
      <c r="E9" s="35" t="s">
        <v>217</v>
      </c>
      <c r="F9" s="35" t="s">
        <v>220</v>
      </c>
      <c r="G9" s="35" t="s">
        <v>225</v>
      </c>
      <c r="H9" s="35" t="s">
        <v>209</v>
      </c>
      <c r="I9" s="2"/>
      <c r="J9" s="2"/>
      <c r="K9" s="2"/>
      <c r="L9" s="2"/>
      <c r="M9" s="2"/>
      <c r="N9" s="2"/>
      <c r="O9" s="2"/>
    </row>
    <row r="10" spans="2:15" ht="96">
      <c r="B10" s="36" t="s">
        <v>123</v>
      </c>
      <c r="C10" s="35" t="s">
        <v>218</v>
      </c>
      <c r="D10" s="35" t="s">
        <v>210</v>
      </c>
      <c r="E10" s="35" t="s">
        <v>211</v>
      </c>
      <c r="F10" s="35" t="s">
        <v>221</v>
      </c>
      <c r="G10" s="35" t="s">
        <v>226</v>
      </c>
      <c r="H10" s="35" t="s">
        <v>230</v>
      </c>
      <c r="I10" s="2"/>
      <c r="J10" s="2"/>
      <c r="K10" s="2"/>
      <c r="L10" s="2"/>
      <c r="M10" s="2"/>
      <c r="N10" s="2"/>
      <c r="O10" s="2"/>
    </row>
    <row r="11" spans="2:15" ht="64">
      <c r="B11" s="36" t="s">
        <v>38</v>
      </c>
      <c r="C11" s="35" t="s">
        <v>213</v>
      </c>
      <c r="D11" s="35" t="s">
        <v>124</v>
      </c>
      <c r="E11" s="35" t="s">
        <v>219</v>
      </c>
      <c r="F11" s="35" t="s">
        <v>222</v>
      </c>
      <c r="G11" s="35" t="s">
        <v>227</v>
      </c>
      <c r="H11" s="35" t="s">
        <v>231</v>
      </c>
      <c r="I11" s="2"/>
      <c r="J11" s="2"/>
      <c r="K11" s="2"/>
      <c r="L11" s="2"/>
      <c r="M11" s="2"/>
      <c r="N11" s="2"/>
      <c r="O11" s="2"/>
    </row>
    <row r="12" spans="2:15" ht="80">
      <c r="B12" s="36" t="s">
        <v>118</v>
      </c>
      <c r="C12" s="35" t="s">
        <v>214</v>
      </c>
      <c r="D12" s="35" t="s">
        <v>215</v>
      </c>
      <c r="E12" s="35" t="s">
        <v>125</v>
      </c>
      <c r="F12" s="35" t="s">
        <v>223</v>
      </c>
      <c r="G12" s="35" t="s">
        <v>234</v>
      </c>
      <c r="H12" s="35" t="s">
        <v>232</v>
      </c>
      <c r="I12" s="2"/>
      <c r="J12" s="2"/>
      <c r="K12" s="2"/>
      <c r="L12" s="2"/>
      <c r="M12" s="2"/>
      <c r="N12" s="2"/>
      <c r="O12" s="2"/>
    </row>
    <row r="13" spans="2:15" ht="96">
      <c r="B13" s="36" t="s">
        <v>37</v>
      </c>
      <c r="C13" s="35" t="s">
        <v>229</v>
      </c>
      <c r="D13" s="35" t="s">
        <v>235</v>
      </c>
      <c r="E13" s="35" t="s">
        <v>216</v>
      </c>
      <c r="F13" s="35" t="s">
        <v>224</v>
      </c>
      <c r="G13" s="35" t="s">
        <v>228</v>
      </c>
      <c r="H13" s="35" t="s">
        <v>233</v>
      </c>
      <c r="I13" s="2"/>
      <c r="J13" s="2"/>
      <c r="K13" s="2"/>
      <c r="L13" s="2"/>
      <c r="M13" s="2"/>
      <c r="N13" s="2"/>
      <c r="O13" s="2"/>
    </row>
    <row r="14" spans="2:15">
      <c r="C14" s="2"/>
      <c r="D14" s="2"/>
      <c r="E14" s="2"/>
      <c r="F14" s="2"/>
      <c r="G14" s="2"/>
      <c r="H14" s="2"/>
    </row>
    <row r="15" spans="2:15">
      <c r="C15" s="2"/>
      <c r="D15" s="2"/>
      <c r="E15" s="2"/>
      <c r="F15" s="2"/>
      <c r="G15" s="2"/>
      <c r="H15" s="2"/>
    </row>
    <row r="16" spans="2:15">
      <c r="C16" s="2"/>
      <c r="D16" s="2"/>
      <c r="E16" s="2"/>
      <c r="F16" s="2"/>
      <c r="G16" s="2"/>
      <c r="H16" s="2"/>
    </row>
    <row r="17" spans="3:8">
      <c r="C17" s="2"/>
      <c r="D17" s="2"/>
      <c r="E17" s="2"/>
      <c r="F17" s="2"/>
      <c r="G17" s="2"/>
      <c r="H17" s="2"/>
    </row>
    <row r="18" spans="3:8">
      <c r="C18" s="2"/>
      <c r="D18" s="2"/>
      <c r="E18" s="2"/>
      <c r="F18" s="2"/>
      <c r="G18" s="2"/>
      <c r="H18" s="2"/>
    </row>
    <row r="19" spans="3:8">
      <c r="C19" s="2"/>
      <c r="D19" s="2"/>
      <c r="E19" s="2"/>
      <c r="F19" s="2"/>
      <c r="G19" s="2"/>
      <c r="H19" s="2"/>
    </row>
    <row r="20" spans="3:8">
      <c r="C20" s="2"/>
      <c r="D20" s="2"/>
      <c r="E20" s="2"/>
      <c r="F20" s="2"/>
      <c r="G20" s="2"/>
      <c r="H20" s="2"/>
    </row>
    <row r="21" spans="3:8">
      <c r="C21" s="2"/>
      <c r="D21" s="2"/>
      <c r="E21" s="2"/>
      <c r="F21" s="2"/>
      <c r="G21" s="2"/>
      <c r="H21" s="2"/>
    </row>
    <row r="22" spans="3:8">
      <c r="C22" s="2"/>
      <c r="D22" s="2"/>
      <c r="E22" s="2"/>
      <c r="F22" s="2"/>
      <c r="G22" s="2"/>
      <c r="H22" s="2"/>
    </row>
    <row r="23" spans="3:8">
      <c r="C23" s="2"/>
      <c r="D23" s="2"/>
      <c r="E23" s="2"/>
      <c r="F23" s="2"/>
      <c r="G23" s="2"/>
      <c r="H23" s="2"/>
    </row>
    <row r="24" spans="3:8">
      <c r="C24" s="2"/>
      <c r="D24" s="2"/>
      <c r="E24" s="2"/>
      <c r="F24" s="2"/>
      <c r="G24" s="2"/>
      <c r="H24" s="2"/>
    </row>
    <row r="25" spans="3:8">
      <c r="C25" s="2"/>
      <c r="D25" s="2"/>
      <c r="E25" s="2"/>
      <c r="F25" s="2"/>
      <c r="G25" s="2"/>
      <c r="H25" s="2"/>
    </row>
    <row r="26" spans="3:8">
      <c r="C26" s="2"/>
      <c r="D26" s="2"/>
      <c r="E26" s="2"/>
      <c r="F26" s="2"/>
      <c r="G26" s="2"/>
      <c r="H26" s="2"/>
    </row>
    <row r="27" spans="3:8">
      <c r="C27" s="2"/>
      <c r="D27" s="2"/>
      <c r="E27" s="2"/>
      <c r="F27" s="2"/>
      <c r="G27" s="2"/>
      <c r="H27" s="2"/>
    </row>
    <row r="28" spans="3:8">
      <c r="C28" s="2"/>
      <c r="D28" s="2"/>
      <c r="E28" s="2"/>
      <c r="F28" s="2"/>
      <c r="G28" s="2"/>
      <c r="H28" s="2"/>
    </row>
    <row r="29" spans="3:8">
      <c r="C29" s="2"/>
      <c r="D29" s="2"/>
      <c r="E29" s="2"/>
      <c r="F29" s="2"/>
      <c r="G29" s="2"/>
      <c r="H29" s="2"/>
    </row>
    <row r="30" spans="3:8">
      <c r="C30" s="2"/>
      <c r="D30" s="2"/>
      <c r="E30" s="2"/>
      <c r="F30" s="2"/>
      <c r="G30" s="2"/>
      <c r="H30" s="2"/>
    </row>
    <row r="31" spans="3:8">
      <c r="C31" s="2"/>
      <c r="D31" s="2"/>
      <c r="E31" s="2"/>
      <c r="F31" s="2"/>
      <c r="G31" s="2"/>
      <c r="H31" s="2"/>
    </row>
  </sheetData>
  <mergeCells count="1">
    <mergeCell ref="D5:G6"/>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CJ240"/>
  <sheetViews>
    <sheetView zoomScale="80" zoomScaleNormal="80" workbookViewId="0">
      <selection activeCell="M2" sqref="M2"/>
    </sheetView>
  </sheetViews>
  <sheetFormatPr baseColWidth="10" defaultColWidth="8.83203125" defaultRowHeight="15"/>
  <cols>
    <col min="1" max="1" width="4.1640625" customWidth="1"/>
    <col min="2" max="3" width="20" customWidth="1"/>
    <col min="4" max="4" width="15.33203125" customWidth="1"/>
    <col min="5" max="5" width="20" customWidth="1"/>
    <col min="6" max="6" width="18.1640625" customWidth="1"/>
    <col min="7" max="9" width="20" bestFit="1" customWidth="1"/>
    <col min="10" max="10" width="22.6640625" customWidth="1"/>
    <col min="11" max="11" width="18.5" customWidth="1"/>
    <col min="12" max="12" width="20" customWidth="1"/>
    <col min="13" max="13" width="19.5" customWidth="1"/>
    <col min="14" max="14" width="20" customWidth="1"/>
    <col min="15" max="20" width="19" customWidth="1"/>
    <col min="21" max="21" width="19" style="5" customWidth="1"/>
    <col min="22" max="22" width="19" customWidth="1"/>
    <col min="23" max="23" width="21.6640625" customWidth="1"/>
    <col min="24" max="30" width="19" customWidth="1"/>
    <col min="31" max="35" width="20" customWidth="1"/>
    <col min="36" max="49" width="19" customWidth="1"/>
    <col min="50" max="50" width="13.33203125" customWidth="1"/>
    <col min="51" max="51" width="12.5" customWidth="1"/>
    <col min="52" max="52" width="14.5" customWidth="1"/>
    <col min="53" max="53" width="18.33203125" customWidth="1"/>
    <col min="54" max="54" width="17" customWidth="1"/>
    <col min="55" max="55" width="19.1640625" customWidth="1"/>
    <col min="56" max="56" width="25.5" customWidth="1"/>
    <col min="57" max="57" width="12.33203125" customWidth="1"/>
    <col min="58" max="58" width="0.1640625" customWidth="1"/>
    <col min="59" max="59" width="7.83203125" customWidth="1"/>
    <col min="60" max="60" width="2.6640625" customWidth="1"/>
    <col min="61" max="61" width="16" customWidth="1"/>
    <col min="62" max="63" width="14.33203125" customWidth="1"/>
    <col min="64" max="64" width="12.1640625" customWidth="1"/>
    <col min="65" max="65" width="13.5" customWidth="1"/>
    <col min="66" max="66" width="11.1640625" customWidth="1"/>
    <col min="67" max="67" width="8.83203125" hidden="1" customWidth="1"/>
    <col min="68" max="68" width="16.1640625" customWidth="1"/>
    <col min="69" max="69" width="12" customWidth="1"/>
    <col min="70" max="71" width="11.5" customWidth="1"/>
    <col min="72" max="72" width="12.83203125" customWidth="1"/>
    <col min="73" max="73" width="10.83203125" style="7" customWidth="1"/>
    <col min="74" max="88" width="8.83203125" hidden="1" customWidth="1"/>
    <col min="89" max="89" width="0" hidden="1" customWidth="1"/>
  </cols>
  <sheetData>
    <row r="2" spans="1:73" s="26" customFormat="1" ht="104" customHeight="1">
      <c r="A2" s="26" t="s">
        <v>73</v>
      </c>
      <c r="B2" s="26" t="s">
        <v>114</v>
      </c>
      <c r="C2" s="26" t="s">
        <v>78</v>
      </c>
      <c r="D2" s="26" t="s">
        <v>83</v>
      </c>
      <c r="E2" s="26" t="s">
        <v>55</v>
      </c>
      <c r="F2" s="26" t="s">
        <v>60</v>
      </c>
      <c r="G2" s="26" t="s">
        <v>63</v>
      </c>
      <c r="H2" s="26" t="s">
        <v>104</v>
      </c>
      <c r="I2" s="27" t="s">
        <v>72</v>
      </c>
      <c r="J2" s="26" t="s">
        <v>105</v>
      </c>
      <c r="K2" s="26" t="s">
        <v>106</v>
      </c>
      <c r="L2" s="26" t="s">
        <v>107</v>
      </c>
      <c r="M2" s="26" t="s">
        <v>108</v>
      </c>
      <c r="N2" s="28" t="s">
        <v>28</v>
      </c>
      <c r="O2" s="28" t="s">
        <v>27</v>
      </c>
      <c r="P2" s="28" t="s">
        <v>29</v>
      </c>
      <c r="Q2" s="28" t="s">
        <v>30</v>
      </c>
      <c r="R2" s="28" t="s">
        <v>31</v>
      </c>
      <c r="S2" s="28" t="s">
        <v>71</v>
      </c>
      <c r="T2" s="28" t="s">
        <v>32</v>
      </c>
      <c r="U2" s="28" t="s">
        <v>33</v>
      </c>
      <c r="V2" s="28" t="s">
        <v>34</v>
      </c>
      <c r="W2" s="45" t="s">
        <v>113</v>
      </c>
      <c r="X2" s="29" t="s">
        <v>35</v>
      </c>
      <c r="Y2" s="29" t="s">
        <v>36</v>
      </c>
      <c r="Z2" s="29" t="s">
        <v>38</v>
      </c>
      <c r="AA2" s="29" t="s">
        <v>39</v>
      </c>
      <c r="AB2" s="29" t="s">
        <v>37</v>
      </c>
      <c r="AC2" s="28" t="s">
        <v>109</v>
      </c>
      <c r="AD2" s="30" t="s">
        <v>40</v>
      </c>
      <c r="AE2" s="30" t="s">
        <v>41</v>
      </c>
      <c r="AF2" s="30" t="s">
        <v>42</v>
      </c>
      <c r="AG2" s="30" t="s">
        <v>43</v>
      </c>
      <c r="AH2" s="30" t="s">
        <v>44</v>
      </c>
      <c r="AI2" s="30" t="s">
        <v>26</v>
      </c>
      <c r="AJ2" s="30" t="s">
        <v>111</v>
      </c>
      <c r="AK2" s="31" t="s">
        <v>45</v>
      </c>
      <c r="AL2" s="31" t="s">
        <v>46</v>
      </c>
      <c r="AM2" s="31" t="s">
        <v>49</v>
      </c>
      <c r="AN2" s="31" t="s">
        <v>48</v>
      </c>
      <c r="AO2" s="31" t="s">
        <v>47</v>
      </c>
      <c r="AP2" s="32" t="s">
        <v>110</v>
      </c>
      <c r="AQ2" s="33" t="s">
        <v>50</v>
      </c>
      <c r="AR2" s="33" t="s">
        <v>51</v>
      </c>
      <c r="AS2" s="33" t="s">
        <v>52</v>
      </c>
      <c r="AT2" s="33" t="s">
        <v>53</v>
      </c>
      <c r="AU2" s="33" t="s">
        <v>54</v>
      </c>
      <c r="AV2" s="34" t="s">
        <v>112</v>
      </c>
    </row>
    <row r="3" spans="1:73" ht="16">
      <c r="A3" s="13">
        <v>1</v>
      </c>
      <c r="B3" s="1" t="s">
        <v>74</v>
      </c>
      <c r="C3" s="1" t="s">
        <v>79</v>
      </c>
      <c r="D3" s="1" t="s">
        <v>0</v>
      </c>
      <c r="E3" s="1" t="s">
        <v>59</v>
      </c>
      <c r="F3" s="1" t="s">
        <v>62</v>
      </c>
      <c r="G3" s="1" t="s">
        <v>64</v>
      </c>
      <c r="H3">
        <v>3</v>
      </c>
      <c r="I3" s="5" t="s">
        <v>69</v>
      </c>
      <c r="J3" t="s">
        <v>20</v>
      </c>
      <c r="K3">
        <v>4</v>
      </c>
      <c r="L3">
        <v>4</v>
      </c>
      <c r="M3">
        <v>4</v>
      </c>
      <c r="N3">
        <v>4</v>
      </c>
      <c r="O3">
        <v>4</v>
      </c>
      <c r="P3">
        <v>4</v>
      </c>
      <c r="Q3">
        <v>4</v>
      </c>
      <c r="R3">
        <v>4</v>
      </c>
      <c r="S3">
        <v>4</v>
      </c>
      <c r="T3">
        <v>4</v>
      </c>
      <c r="U3">
        <v>4</v>
      </c>
      <c r="V3">
        <v>4</v>
      </c>
      <c r="W3" s="7" cm="1">
        <f t="array" ref="W3">SUM(OfficeForms.Table[[#This Row],[Gestión del alcance ]:[Gestión de compra ]]/9)</f>
        <v>4.0000000000000009</v>
      </c>
      <c r="X3" s="7">
        <v>4</v>
      </c>
      <c r="Y3" s="7">
        <v>4</v>
      </c>
      <c r="Z3" s="7">
        <v>4</v>
      </c>
      <c r="AA3" s="7">
        <v>4</v>
      </c>
      <c r="AB3" s="7">
        <v>4</v>
      </c>
      <c r="AC3" s="7" cm="1">
        <f t="array" ref="AC3">SUM(OfficeForms.Table[[#This Row],[Personas]:[Relaciones]]/5)</f>
        <v>4</v>
      </c>
      <c r="AD3">
        <v>4</v>
      </c>
      <c r="AE3">
        <v>4</v>
      </c>
      <c r="AF3">
        <v>4</v>
      </c>
      <c r="AG3">
        <v>4</v>
      </c>
      <c r="AH3">
        <v>4</v>
      </c>
      <c r="AJ3" cm="1">
        <f t="array" ref="AJ3">SUM(OfficeForms.Table[[#This Row],[Función Estratégica.Proporcionar asesoramiento a la alta dirección]:[Función Estratégica.Supervisar y controlar el desempeño de la propia PMO.]]/5)</f>
        <v>4</v>
      </c>
      <c r="AK3" s="1">
        <v>4</v>
      </c>
      <c r="AL3" s="1">
        <v>4</v>
      </c>
      <c r="AM3" s="1">
        <v>4</v>
      </c>
      <c r="AN3" s="1">
        <v>4</v>
      </c>
      <c r="AO3" s="1">
        <v>4</v>
      </c>
      <c r="AP3" s="7" cm="1">
        <f t="array" ref="AP3">SUM(OfficeForms.Table[[#This Row],[Función Táctica. Desarrollar e implementar una metodología estándar de gestión de proyectos.]:[Función Táctica.  Gestionar la base de datos de riesgos ]]/5)</f>
        <v>4</v>
      </c>
      <c r="AQ3" s="1">
        <v>4</v>
      </c>
      <c r="AR3" s="1">
        <v>4</v>
      </c>
      <c r="AS3" s="1">
        <v>4</v>
      </c>
      <c r="AT3" s="1">
        <v>4</v>
      </c>
      <c r="AU3" s="1">
        <v>4</v>
      </c>
      <c r="AV3" s="7" cm="1">
        <f t="array" ref="AV3">SUM(OfficeForms.Table[[#This Row],[Función Operativa. Informar sobre el estado del proyecto/programa a la alta dirección.]:[Función Operativa. Gestionar documentación  proyecto y positorio de gestión del conocimiento.]]/5)</f>
        <v>4</v>
      </c>
      <c r="AW3" s="26"/>
      <c r="BU3"/>
    </row>
    <row r="4" spans="1:73">
      <c r="A4" s="13">
        <v>2</v>
      </c>
      <c r="B4" s="1" t="s">
        <v>75</v>
      </c>
      <c r="C4" s="1" t="s">
        <v>80</v>
      </c>
      <c r="D4" s="1" t="s">
        <v>2</v>
      </c>
      <c r="E4" s="1" t="s">
        <v>56</v>
      </c>
      <c r="F4" s="1" t="s">
        <v>62</v>
      </c>
      <c r="G4" s="1" t="s">
        <v>64</v>
      </c>
      <c r="H4">
        <v>2</v>
      </c>
      <c r="I4" s="5" t="s">
        <v>69</v>
      </c>
      <c r="J4" t="s">
        <v>23</v>
      </c>
      <c r="K4">
        <v>1</v>
      </c>
      <c r="L4">
        <v>1</v>
      </c>
      <c r="M4">
        <v>1</v>
      </c>
      <c r="N4">
        <v>1</v>
      </c>
      <c r="O4">
        <v>1</v>
      </c>
      <c r="P4">
        <v>1</v>
      </c>
      <c r="Q4">
        <v>1</v>
      </c>
      <c r="R4">
        <v>1</v>
      </c>
      <c r="S4">
        <v>1</v>
      </c>
      <c r="T4">
        <v>1</v>
      </c>
      <c r="U4">
        <v>1</v>
      </c>
      <c r="V4">
        <v>1</v>
      </c>
      <c r="W4" s="7" cm="1">
        <f t="array" ref="W4">SUM(OfficeForms.Table[[#This Row],[Gestión del alcance ]:[Gestión de compra ]]/9)</f>
        <v>1.0000000000000002</v>
      </c>
      <c r="X4" s="7">
        <v>0</v>
      </c>
      <c r="Y4" s="7">
        <v>0</v>
      </c>
      <c r="Z4" s="7">
        <v>0</v>
      </c>
      <c r="AA4" s="7">
        <v>0</v>
      </c>
      <c r="AB4" s="7">
        <v>0</v>
      </c>
      <c r="AC4" s="7" cm="1">
        <f t="array" ref="AC4">SUM(OfficeForms.Table[[#This Row],[Personas]:[Relaciones]]/5)</f>
        <v>0</v>
      </c>
      <c r="AD4">
        <v>1</v>
      </c>
      <c r="AE4">
        <v>1</v>
      </c>
      <c r="AF4">
        <v>1</v>
      </c>
      <c r="AG4">
        <v>1</v>
      </c>
      <c r="AH4">
        <v>1</v>
      </c>
      <c r="AJ4" cm="1">
        <f t="array" ref="AJ4">SUM(OfficeForms.Table[[#This Row],[Función Estratégica.Proporcionar asesoramiento a la alta dirección]:[Función Estratégica.Supervisar y controlar el desempeño de la propia PMO.]]/5)</f>
        <v>1</v>
      </c>
      <c r="AK4" s="1">
        <v>1</v>
      </c>
      <c r="AL4" s="1">
        <v>1</v>
      </c>
      <c r="AM4" s="1">
        <v>1</v>
      </c>
      <c r="AN4" s="1">
        <v>1</v>
      </c>
      <c r="AO4" s="1">
        <v>1</v>
      </c>
      <c r="AP4" s="7" cm="1">
        <f t="array" ref="AP4">SUM(OfficeForms.Table[[#This Row],[Función Táctica. Desarrollar e implementar una metodología estándar de gestión de proyectos.]:[Función Táctica.  Gestionar la base de datos de riesgos ]]/5)</f>
        <v>1</v>
      </c>
      <c r="AQ4" s="1">
        <v>1</v>
      </c>
      <c r="AR4" s="1">
        <v>1</v>
      </c>
      <c r="AS4" s="1">
        <v>1</v>
      </c>
      <c r="AT4" s="1">
        <v>1</v>
      </c>
      <c r="AU4" s="1">
        <v>1</v>
      </c>
      <c r="AV4" s="7" cm="1">
        <f t="array" ref="AV4">SUM(OfficeForms.Table[[#This Row],[Función Operativa. Informar sobre el estado del proyecto/programa a la alta dirección.]:[Función Operativa. Gestionar documentación  proyecto y positorio de gestión del conocimiento.]]/5)</f>
        <v>1</v>
      </c>
      <c r="BU4"/>
    </row>
    <row r="5" spans="1:73">
      <c r="A5" s="13">
        <v>3</v>
      </c>
      <c r="B5" s="1" t="s">
        <v>75</v>
      </c>
      <c r="C5" s="1" t="s">
        <v>80</v>
      </c>
      <c r="D5" s="1" t="s">
        <v>0</v>
      </c>
      <c r="E5" s="1" t="s">
        <v>57</v>
      </c>
      <c r="F5" s="1" t="s">
        <v>61</v>
      </c>
      <c r="G5" s="1" t="s">
        <v>66</v>
      </c>
      <c r="H5">
        <v>4</v>
      </c>
      <c r="I5" s="5" t="s">
        <v>68</v>
      </c>
      <c r="J5" t="s">
        <v>7</v>
      </c>
      <c r="K5">
        <v>3</v>
      </c>
      <c r="L5">
        <v>4</v>
      </c>
      <c r="M5">
        <v>4</v>
      </c>
      <c r="N5">
        <v>4</v>
      </c>
      <c r="O5">
        <v>4</v>
      </c>
      <c r="P5">
        <v>4</v>
      </c>
      <c r="Q5">
        <v>4</v>
      </c>
      <c r="R5">
        <v>3</v>
      </c>
      <c r="S5">
        <v>4</v>
      </c>
      <c r="T5">
        <v>3</v>
      </c>
      <c r="U5">
        <v>4</v>
      </c>
      <c r="V5">
        <v>4</v>
      </c>
      <c r="W5" s="7" cm="1">
        <f t="array" ref="W5">SUM(OfficeForms.Table[[#This Row],[Gestión del alcance ]:[Gestión de compra ]]/9)</f>
        <v>3.7777777777777777</v>
      </c>
      <c r="X5" s="7">
        <v>4</v>
      </c>
      <c r="Y5" s="7">
        <v>4</v>
      </c>
      <c r="Z5" s="7">
        <v>4</v>
      </c>
      <c r="AA5" s="7">
        <v>4</v>
      </c>
      <c r="AB5" s="7">
        <v>4</v>
      </c>
      <c r="AC5" s="7" cm="1">
        <f t="array" ref="AC5">SUM(OfficeForms.Table[[#This Row],[Personas]:[Relaciones]]/5)</f>
        <v>4</v>
      </c>
      <c r="AD5">
        <v>5</v>
      </c>
      <c r="AE5">
        <v>5</v>
      </c>
      <c r="AF5">
        <v>5</v>
      </c>
      <c r="AG5">
        <v>5</v>
      </c>
      <c r="AH5">
        <v>5</v>
      </c>
      <c r="AJ5" cm="1">
        <f t="array" ref="AJ5">SUM(OfficeForms.Table[[#This Row],[Función Estratégica.Proporcionar asesoramiento a la alta dirección]:[Función Estratégica.Supervisar y controlar el desempeño de la propia PMO.]]/5)</f>
        <v>5</v>
      </c>
      <c r="AK5" s="1">
        <v>4</v>
      </c>
      <c r="AL5" s="1">
        <v>5</v>
      </c>
      <c r="AM5" s="1">
        <v>4</v>
      </c>
      <c r="AN5" s="1">
        <v>5</v>
      </c>
      <c r="AO5" s="1">
        <v>4</v>
      </c>
      <c r="AP5" s="7" cm="1">
        <f t="array" ref="AP5">SUM(OfficeForms.Table[[#This Row],[Función Táctica. Desarrollar e implementar una metodología estándar de gestión de proyectos.]:[Función Táctica.  Gestionar la base de datos de riesgos ]]/5)</f>
        <v>4.4000000000000004</v>
      </c>
      <c r="AQ5" s="1">
        <v>4</v>
      </c>
      <c r="AR5" s="1">
        <v>5</v>
      </c>
      <c r="AS5" s="1">
        <v>4</v>
      </c>
      <c r="AT5" s="1">
        <v>5</v>
      </c>
      <c r="AU5" s="1">
        <v>5</v>
      </c>
      <c r="AV5" s="7" cm="1">
        <f t="array" ref="AV5">SUM(OfficeForms.Table[[#This Row],[Función Operativa. Informar sobre el estado del proyecto/programa a la alta dirección.]:[Función Operativa. Gestionar documentación  proyecto y positorio de gestión del conocimiento.]]/5)</f>
        <v>4.5999999999999996</v>
      </c>
      <c r="BU5"/>
    </row>
    <row r="6" spans="1:73">
      <c r="A6" s="13">
        <v>4</v>
      </c>
      <c r="B6" s="1" t="s">
        <v>74</v>
      </c>
      <c r="C6" s="1" t="s">
        <v>81</v>
      </c>
      <c r="D6" s="1" t="s">
        <v>2</v>
      </c>
      <c r="E6" s="1" t="s">
        <v>59</v>
      </c>
      <c r="F6" s="1" t="s">
        <v>3</v>
      </c>
      <c r="G6" s="1" t="s">
        <v>64</v>
      </c>
      <c r="H6">
        <v>3</v>
      </c>
      <c r="I6" s="5" t="s">
        <v>25</v>
      </c>
      <c r="J6" t="s">
        <v>7</v>
      </c>
      <c r="K6">
        <v>3</v>
      </c>
      <c r="L6">
        <v>3</v>
      </c>
      <c r="M6">
        <v>3</v>
      </c>
      <c r="N6">
        <v>3</v>
      </c>
      <c r="O6">
        <v>3</v>
      </c>
      <c r="P6">
        <v>4</v>
      </c>
      <c r="Q6">
        <v>4</v>
      </c>
      <c r="R6">
        <v>2</v>
      </c>
      <c r="S6">
        <v>3</v>
      </c>
      <c r="T6">
        <v>3</v>
      </c>
      <c r="U6">
        <v>2</v>
      </c>
      <c r="V6">
        <v>5</v>
      </c>
      <c r="W6" s="7" cm="1">
        <f t="array" ref="W6">SUM(OfficeForms.Table[[#This Row],[Gestión del alcance ]:[Gestión de compra ]]/9)</f>
        <v>3.2222222222222223</v>
      </c>
      <c r="X6" s="7">
        <v>2</v>
      </c>
      <c r="Y6" s="7">
        <v>2</v>
      </c>
      <c r="Z6" s="7">
        <v>2</v>
      </c>
      <c r="AA6" s="7">
        <v>4</v>
      </c>
      <c r="AB6" s="7">
        <v>4</v>
      </c>
      <c r="AC6" s="7" cm="1">
        <f t="array" ref="AC6">SUM(OfficeForms.Table[[#This Row],[Personas]:[Relaciones]]/5)</f>
        <v>2.8</v>
      </c>
      <c r="AD6">
        <v>4</v>
      </c>
      <c r="AE6">
        <v>4</v>
      </c>
      <c r="AF6">
        <v>4</v>
      </c>
      <c r="AG6">
        <v>4</v>
      </c>
      <c r="AH6">
        <v>4</v>
      </c>
      <c r="AJ6" cm="1">
        <f t="array" ref="AJ6">SUM(OfficeForms.Table[[#This Row],[Función Estratégica.Proporcionar asesoramiento a la alta dirección]:[Función Estratégica.Supervisar y controlar el desempeño de la propia PMO.]]/5)</f>
        <v>4</v>
      </c>
      <c r="AK6" s="1">
        <v>4</v>
      </c>
      <c r="AL6" s="1">
        <v>1</v>
      </c>
      <c r="AM6" s="1">
        <v>4</v>
      </c>
      <c r="AN6" s="1">
        <v>1</v>
      </c>
      <c r="AO6" s="1">
        <v>1</v>
      </c>
      <c r="AP6" s="7" cm="1">
        <f t="array" ref="AP6">SUM(OfficeForms.Table[[#This Row],[Función Táctica. Desarrollar e implementar una metodología estándar de gestión de proyectos.]:[Función Táctica.  Gestionar la base de datos de riesgos ]]/5)</f>
        <v>2.2000000000000002</v>
      </c>
      <c r="AQ6" s="1">
        <v>4</v>
      </c>
      <c r="AR6" s="1">
        <v>2</v>
      </c>
      <c r="AS6" s="1">
        <v>4</v>
      </c>
      <c r="AT6" s="1">
        <v>4</v>
      </c>
      <c r="AU6" s="1">
        <v>2</v>
      </c>
      <c r="AV6" s="7" cm="1">
        <f t="array" ref="AV6">SUM(OfficeForms.Table[[#This Row],[Función Operativa. Informar sobre el estado del proyecto/programa a la alta dirección.]:[Función Operativa. Gestionar documentación  proyecto y positorio de gestión del conocimiento.]]/5)</f>
        <v>3.1999999999999997</v>
      </c>
      <c r="BU6"/>
    </row>
    <row r="7" spans="1:73">
      <c r="A7" s="13">
        <v>5</v>
      </c>
      <c r="B7" s="1" t="s">
        <v>74</v>
      </c>
      <c r="C7" s="1" t="s">
        <v>79</v>
      </c>
      <c r="D7" s="1" t="s">
        <v>2</v>
      </c>
      <c r="E7" s="1" t="s">
        <v>59</v>
      </c>
      <c r="F7" s="1" t="s">
        <v>61</v>
      </c>
      <c r="G7" s="1" t="s">
        <v>66</v>
      </c>
      <c r="H7">
        <v>4</v>
      </c>
      <c r="I7" s="5" t="s">
        <v>68</v>
      </c>
      <c r="J7" t="s">
        <v>4</v>
      </c>
      <c r="K7">
        <v>5</v>
      </c>
      <c r="L7">
        <v>5</v>
      </c>
      <c r="M7">
        <v>5</v>
      </c>
      <c r="N7">
        <v>4</v>
      </c>
      <c r="O7">
        <v>5</v>
      </c>
      <c r="P7">
        <v>5</v>
      </c>
      <c r="Q7">
        <v>5</v>
      </c>
      <c r="R7">
        <v>5</v>
      </c>
      <c r="S7">
        <v>5</v>
      </c>
      <c r="T7">
        <v>5</v>
      </c>
      <c r="U7">
        <v>5</v>
      </c>
      <c r="V7">
        <v>5</v>
      </c>
      <c r="W7" s="7" cm="1">
        <f t="array" ref="W7">SUM(OfficeForms.Table[[#This Row],[Gestión del alcance ]:[Gestión de compra ]]/9)</f>
        <v>4.8888888888888884</v>
      </c>
      <c r="X7" s="7">
        <v>5</v>
      </c>
      <c r="Y7" s="7">
        <v>5</v>
      </c>
      <c r="Z7" s="7">
        <v>5</v>
      </c>
      <c r="AA7" s="7">
        <v>5</v>
      </c>
      <c r="AB7" s="7">
        <v>5</v>
      </c>
      <c r="AC7" s="7" cm="1">
        <f t="array" ref="AC7">SUM(OfficeForms.Table[[#This Row],[Personas]:[Relaciones]]/5)</f>
        <v>5</v>
      </c>
      <c r="AD7">
        <v>5</v>
      </c>
      <c r="AE7">
        <v>5</v>
      </c>
      <c r="AF7">
        <v>5</v>
      </c>
      <c r="AG7">
        <v>5</v>
      </c>
      <c r="AH7">
        <v>5</v>
      </c>
      <c r="AJ7" cm="1">
        <f t="array" ref="AJ7">SUM(OfficeForms.Table[[#This Row],[Función Estratégica.Proporcionar asesoramiento a la alta dirección]:[Función Estratégica.Supervisar y controlar el desempeño de la propia PMO.]]/5)</f>
        <v>5</v>
      </c>
      <c r="AK7" s="1">
        <v>5</v>
      </c>
      <c r="AL7" s="1">
        <v>5</v>
      </c>
      <c r="AM7" s="1">
        <v>5</v>
      </c>
      <c r="AN7" s="1">
        <v>5</v>
      </c>
      <c r="AO7" s="1">
        <v>5</v>
      </c>
      <c r="AP7" s="7" cm="1">
        <f t="array" ref="AP7">SUM(OfficeForms.Table[[#This Row],[Función Táctica. Desarrollar e implementar una metodología estándar de gestión de proyectos.]:[Función Táctica.  Gestionar la base de datos de riesgos ]]/5)</f>
        <v>5</v>
      </c>
      <c r="AQ7" s="1">
        <v>5</v>
      </c>
      <c r="AR7" s="1">
        <v>5</v>
      </c>
      <c r="AS7" s="1">
        <v>5</v>
      </c>
      <c r="AT7" s="1">
        <v>5</v>
      </c>
      <c r="AU7" s="1">
        <v>5</v>
      </c>
      <c r="AV7" s="7" cm="1">
        <f t="array" ref="AV7">SUM(OfficeForms.Table[[#This Row],[Función Operativa. Informar sobre el estado del proyecto/programa a la alta dirección.]:[Función Operativa. Gestionar documentación  proyecto y positorio de gestión del conocimiento.]]/5)</f>
        <v>5</v>
      </c>
      <c r="BU7"/>
    </row>
    <row r="8" spans="1:73">
      <c r="A8" s="13">
        <v>6</v>
      </c>
      <c r="B8" s="1" t="s">
        <v>74</v>
      </c>
      <c r="C8" s="1" t="s">
        <v>79</v>
      </c>
      <c r="D8" s="1" t="s">
        <v>0</v>
      </c>
      <c r="E8" s="1" t="s">
        <v>59</v>
      </c>
      <c r="F8" s="1" t="s">
        <v>61</v>
      </c>
      <c r="G8" s="1" t="s">
        <v>66</v>
      </c>
      <c r="H8">
        <v>4</v>
      </c>
      <c r="I8" s="5" t="s">
        <v>25</v>
      </c>
      <c r="J8" t="s">
        <v>12</v>
      </c>
      <c r="K8">
        <v>4</v>
      </c>
      <c r="L8">
        <v>5</v>
      </c>
      <c r="M8">
        <v>5</v>
      </c>
      <c r="N8">
        <v>4</v>
      </c>
      <c r="O8">
        <v>5</v>
      </c>
      <c r="P8">
        <v>5</v>
      </c>
      <c r="Q8">
        <v>5</v>
      </c>
      <c r="R8">
        <v>4</v>
      </c>
      <c r="S8">
        <v>5</v>
      </c>
      <c r="T8">
        <v>5</v>
      </c>
      <c r="U8">
        <v>4</v>
      </c>
      <c r="V8">
        <v>5</v>
      </c>
      <c r="W8" s="7" cm="1">
        <f t="array" ref="W8">SUM(OfficeForms.Table[[#This Row],[Gestión del alcance ]:[Gestión de compra ]]/9)</f>
        <v>4.6666666666666661</v>
      </c>
      <c r="X8" s="7">
        <v>5</v>
      </c>
      <c r="Y8" s="7">
        <v>5</v>
      </c>
      <c r="Z8" s="7">
        <v>5</v>
      </c>
      <c r="AA8" s="7">
        <v>5</v>
      </c>
      <c r="AB8" s="7">
        <v>5</v>
      </c>
      <c r="AC8" s="7" cm="1">
        <f t="array" ref="AC8">SUM(OfficeForms.Table[[#This Row],[Personas]:[Relaciones]]/5)</f>
        <v>5</v>
      </c>
      <c r="AD8">
        <v>5</v>
      </c>
      <c r="AE8">
        <v>5</v>
      </c>
      <c r="AF8">
        <v>4</v>
      </c>
      <c r="AG8">
        <v>4</v>
      </c>
      <c r="AH8">
        <v>4</v>
      </c>
      <c r="AJ8" cm="1">
        <f t="array" ref="AJ8">SUM(OfficeForms.Table[[#This Row],[Función Estratégica.Proporcionar asesoramiento a la alta dirección]:[Función Estratégica.Supervisar y controlar el desempeño de la propia PMO.]]/5)</f>
        <v>4.3999999999999995</v>
      </c>
      <c r="AK8" s="1">
        <v>5</v>
      </c>
      <c r="AL8" s="1">
        <v>5</v>
      </c>
      <c r="AM8" s="1">
        <v>5</v>
      </c>
      <c r="AN8" s="1">
        <v>5</v>
      </c>
      <c r="AO8" s="1">
        <v>4</v>
      </c>
      <c r="AP8" s="7" cm="1">
        <f t="array" ref="AP8">SUM(OfficeForms.Table[[#This Row],[Función Táctica. Desarrollar e implementar una metodología estándar de gestión de proyectos.]:[Función Táctica.  Gestionar la base de datos de riesgos ]]/5)</f>
        <v>4.8</v>
      </c>
      <c r="AQ8" s="1">
        <v>5</v>
      </c>
      <c r="AR8" s="1">
        <v>4</v>
      </c>
      <c r="AS8" s="1">
        <v>4</v>
      </c>
      <c r="AT8" s="1">
        <v>5</v>
      </c>
      <c r="AU8" s="1">
        <v>4</v>
      </c>
      <c r="AV8" s="7" cm="1">
        <f t="array" ref="AV8">SUM(OfficeForms.Table[[#This Row],[Función Operativa. Informar sobre el estado del proyecto/programa a la alta dirección.]:[Función Operativa. Gestionar documentación  proyecto y positorio de gestión del conocimiento.]]/5)</f>
        <v>4.4000000000000004</v>
      </c>
      <c r="BU8"/>
    </row>
    <row r="9" spans="1:73">
      <c r="A9" s="13">
        <v>7</v>
      </c>
      <c r="B9" s="1" t="s">
        <v>76</v>
      </c>
      <c r="C9" s="1" t="s">
        <v>79</v>
      </c>
      <c r="D9" s="1" t="s">
        <v>0</v>
      </c>
      <c r="E9" s="1" t="s">
        <v>56</v>
      </c>
      <c r="F9" s="1" t="s">
        <v>62</v>
      </c>
      <c r="G9" s="1" t="s">
        <v>64</v>
      </c>
      <c r="H9">
        <v>4</v>
      </c>
      <c r="I9" s="5" t="s">
        <v>69</v>
      </c>
      <c r="J9" t="s">
        <v>7</v>
      </c>
      <c r="K9">
        <v>3</v>
      </c>
      <c r="L9">
        <v>4</v>
      </c>
      <c r="M9">
        <v>4</v>
      </c>
      <c r="N9">
        <v>3</v>
      </c>
      <c r="O9">
        <v>2</v>
      </c>
      <c r="P9">
        <v>3</v>
      </c>
      <c r="Q9">
        <v>3</v>
      </c>
      <c r="R9">
        <v>2</v>
      </c>
      <c r="S9">
        <v>3</v>
      </c>
      <c r="T9">
        <v>3</v>
      </c>
      <c r="U9">
        <v>2</v>
      </c>
      <c r="V9">
        <v>3</v>
      </c>
      <c r="W9" s="7" cm="1">
        <f t="array" ref="W9">SUM(OfficeForms.Table[[#This Row],[Gestión del alcance ]:[Gestión de compra ]]/9)</f>
        <v>2.6666666666666665</v>
      </c>
      <c r="X9" s="7">
        <v>2</v>
      </c>
      <c r="Y9" s="7">
        <v>2</v>
      </c>
      <c r="Z9" s="7">
        <v>3</v>
      </c>
      <c r="AA9" s="7">
        <v>3</v>
      </c>
      <c r="AB9" s="7">
        <v>3</v>
      </c>
      <c r="AC9" s="7" cm="1">
        <f t="array" ref="AC9">SUM(OfficeForms.Table[[#This Row],[Personas]:[Relaciones]]/5)</f>
        <v>2.6</v>
      </c>
      <c r="AD9">
        <v>4</v>
      </c>
      <c r="AE9">
        <v>4</v>
      </c>
      <c r="AF9">
        <v>4</v>
      </c>
      <c r="AG9">
        <v>3</v>
      </c>
      <c r="AH9">
        <v>3</v>
      </c>
      <c r="AJ9" cm="1">
        <f t="array" ref="AJ9">SUM(OfficeForms.Table[[#This Row],[Función Estratégica.Proporcionar asesoramiento a la alta dirección]:[Función Estratégica.Supervisar y controlar el desempeño de la propia PMO.]]/5)</f>
        <v>3.6000000000000005</v>
      </c>
      <c r="AK9" s="1">
        <v>4</v>
      </c>
      <c r="AL9" s="1">
        <v>4</v>
      </c>
      <c r="AM9" s="1">
        <v>4</v>
      </c>
      <c r="AN9" s="1">
        <v>3</v>
      </c>
      <c r="AO9" s="1">
        <v>3</v>
      </c>
      <c r="AP9" s="7" cm="1">
        <f t="array" ref="AP9">SUM(OfficeForms.Table[[#This Row],[Función Táctica. Desarrollar e implementar una metodología estándar de gestión de proyectos.]:[Función Táctica.  Gestionar la base de datos de riesgos ]]/5)</f>
        <v>3.6000000000000005</v>
      </c>
      <c r="AQ9" s="1">
        <v>4</v>
      </c>
      <c r="AR9" s="1">
        <v>3</v>
      </c>
      <c r="AS9" s="1">
        <v>3</v>
      </c>
      <c r="AT9" s="1">
        <v>4</v>
      </c>
      <c r="AU9" s="1">
        <v>3</v>
      </c>
      <c r="AV9" s="7" cm="1">
        <f t="array" ref="AV9">SUM(OfficeForms.Table[[#This Row],[Función Operativa. Informar sobre el estado del proyecto/programa a la alta dirección.]:[Función Operativa. Gestionar documentación  proyecto y positorio de gestión del conocimiento.]]/5)</f>
        <v>3.4</v>
      </c>
      <c r="BU9"/>
    </row>
    <row r="10" spans="1:73">
      <c r="A10" s="13">
        <v>8</v>
      </c>
      <c r="B10" s="1" t="s">
        <v>74</v>
      </c>
      <c r="C10" s="1" t="s">
        <v>80</v>
      </c>
      <c r="D10" s="3" t="s">
        <v>2</v>
      </c>
      <c r="E10" s="1" t="s">
        <v>56</v>
      </c>
      <c r="F10" s="1" t="s">
        <v>62</v>
      </c>
      <c r="G10" s="1" t="s">
        <v>65</v>
      </c>
      <c r="H10">
        <v>4</v>
      </c>
      <c r="I10" s="5" t="s">
        <v>69</v>
      </c>
      <c r="J10" t="s">
        <v>7</v>
      </c>
      <c r="K10">
        <v>4</v>
      </c>
      <c r="L10">
        <v>4</v>
      </c>
      <c r="M10">
        <v>4</v>
      </c>
      <c r="N10">
        <v>3</v>
      </c>
      <c r="O10">
        <v>3</v>
      </c>
      <c r="P10">
        <v>3</v>
      </c>
      <c r="Q10">
        <v>3</v>
      </c>
      <c r="R10">
        <v>3</v>
      </c>
      <c r="S10">
        <v>3</v>
      </c>
      <c r="T10">
        <v>3</v>
      </c>
      <c r="U10">
        <v>3</v>
      </c>
      <c r="V10">
        <v>3</v>
      </c>
      <c r="W10" s="7" cm="1">
        <f t="array" ref="W10">SUM(OfficeForms.Table[[#This Row],[Gestión del alcance ]:[Gestión de compra ]]/9)</f>
        <v>3</v>
      </c>
      <c r="X10" s="7">
        <v>3</v>
      </c>
      <c r="Y10" s="7">
        <v>3</v>
      </c>
      <c r="Z10" s="7">
        <v>2</v>
      </c>
      <c r="AA10" s="7">
        <v>3</v>
      </c>
      <c r="AB10" s="7">
        <v>3</v>
      </c>
      <c r="AC10" s="7" cm="1">
        <f t="array" ref="AC10">SUM(OfficeForms.Table[[#This Row],[Personas]:[Relaciones]]/5)</f>
        <v>2.8000000000000003</v>
      </c>
      <c r="AD10">
        <v>4</v>
      </c>
      <c r="AE10">
        <v>4</v>
      </c>
      <c r="AF10">
        <v>3</v>
      </c>
      <c r="AG10">
        <v>3</v>
      </c>
      <c r="AH10">
        <v>3</v>
      </c>
      <c r="AJ10" cm="1">
        <f t="array" ref="AJ10">SUM(OfficeForms.Table[[#This Row],[Función Estratégica.Proporcionar asesoramiento a la alta dirección]:[Función Estratégica.Supervisar y controlar el desempeño de la propia PMO.]]/5)</f>
        <v>3.4000000000000004</v>
      </c>
      <c r="AK10" s="1">
        <v>4</v>
      </c>
      <c r="AL10" s="1">
        <v>3</v>
      </c>
      <c r="AM10" s="1">
        <v>3</v>
      </c>
      <c r="AN10" s="1">
        <v>4</v>
      </c>
      <c r="AO10" s="1">
        <v>3</v>
      </c>
      <c r="AP10" s="7" cm="1">
        <f t="array" ref="AP10">SUM(OfficeForms.Table[[#This Row],[Función Táctica. Desarrollar e implementar una metodología estándar de gestión de proyectos.]:[Función Táctica.  Gestionar la base de datos de riesgos ]]/5)</f>
        <v>3.4</v>
      </c>
      <c r="AQ10" s="1">
        <v>4</v>
      </c>
      <c r="AR10" s="1">
        <v>3</v>
      </c>
      <c r="AS10" s="1">
        <v>4</v>
      </c>
      <c r="AT10" s="1">
        <v>3</v>
      </c>
      <c r="AU10" s="1">
        <v>4</v>
      </c>
      <c r="AV10" s="7" cm="1">
        <f t="array" ref="AV10">SUM(OfficeForms.Table[[#This Row],[Función Operativa. Informar sobre el estado del proyecto/programa a la alta dirección.]:[Función Operativa. Gestionar documentación  proyecto y positorio de gestión del conocimiento.]]/5)</f>
        <v>3.6000000000000005</v>
      </c>
      <c r="BU10"/>
    </row>
    <row r="11" spans="1:73">
      <c r="A11" s="13">
        <v>9</v>
      </c>
      <c r="B11" s="1" t="s">
        <v>76</v>
      </c>
      <c r="C11" s="1" t="s">
        <v>82</v>
      </c>
      <c r="D11" s="1" t="s">
        <v>2</v>
      </c>
      <c r="E11" s="1" t="s">
        <v>56</v>
      </c>
      <c r="F11" s="1" t="s">
        <v>62</v>
      </c>
      <c r="G11" s="1" t="s">
        <v>64</v>
      </c>
      <c r="H11">
        <v>3</v>
      </c>
      <c r="I11" s="5" t="s">
        <v>67</v>
      </c>
      <c r="J11" t="s">
        <v>7</v>
      </c>
      <c r="K11">
        <v>3</v>
      </c>
      <c r="L11">
        <v>4</v>
      </c>
      <c r="M11">
        <v>4</v>
      </c>
      <c r="N11">
        <v>4</v>
      </c>
      <c r="O11">
        <v>3</v>
      </c>
      <c r="P11">
        <v>3</v>
      </c>
      <c r="Q11">
        <v>3</v>
      </c>
      <c r="R11">
        <v>3</v>
      </c>
      <c r="S11">
        <v>3</v>
      </c>
      <c r="T11">
        <v>3</v>
      </c>
      <c r="U11">
        <v>3</v>
      </c>
      <c r="V11">
        <v>3</v>
      </c>
      <c r="W11" s="7" cm="1">
        <f t="array" ref="W11">SUM(OfficeForms.Table[[#This Row],[Gestión del alcance ]:[Gestión de compra ]]/9)</f>
        <v>3.1111111111111112</v>
      </c>
      <c r="X11" s="7">
        <v>1</v>
      </c>
      <c r="Y11" s="7">
        <v>2</v>
      </c>
      <c r="Z11" s="7">
        <v>1</v>
      </c>
      <c r="AA11" s="7">
        <v>3</v>
      </c>
      <c r="AB11" s="7">
        <v>3</v>
      </c>
      <c r="AC11" s="7" cm="1">
        <f t="array" ref="AC11">SUM(OfficeForms.Table[[#This Row],[Personas]:[Relaciones]]/5)</f>
        <v>2</v>
      </c>
      <c r="AD11">
        <v>4</v>
      </c>
      <c r="AE11">
        <v>4</v>
      </c>
      <c r="AF11">
        <v>3</v>
      </c>
      <c r="AG11">
        <v>3</v>
      </c>
      <c r="AH11">
        <v>3</v>
      </c>
      <c r="AJ11" cm="1">
        <f t="array" ref="AJ11">SUM(OfficeForms.Table[[#This Row],[Función Estratégica.Proporcionar asesoramiento a la alta dirección]:[Función Estratégica.Supervisar y controlar el desempeño de la propia PMO.]]/5)</f>
        <v>3.4000000000000004</v>
      </c>
      <c r="AK11" s="1">
        <v>4</v>
      </c>
      <c r="AL11" s="1">
        <v>3</v>
      </c>
      <c r="AM11" s="1">
        <v>3</v>
      </c>
      <c r="AN11" s="1">
        <v>3</v>
      </c>
      <c r="AO11" s="1">
        <v>3</v>
      </c>
      <c r="AP11" s="7" cm="1">
        <f t="array" ref="AP11">SUM(OfficeForms.Table[[#This Row],[Función Táctica. Desarrollar e implementar una metodología estándar de gestión de proyectos.]:[Función Táctica.  Gestionar la base de datos de riesgos ]]/5)</f>
        <v>3.2</v>
      </c>
      <c r="AQ11" s="1">
        <v>4</v>
      </c>
      <c r="AR11" s="1">
        <v>3</v>
      </c>
      <c r="AS11" s="1">
        <v>3</v>
      </c>
      <c r="AT11" s="1">
        <v>3</v>
      </c>
      <c r="AU11" s="1">
        <v>3</v>
      </c>
      <c r="AV11" s="7" cm="1">
        <f t="array" ref="AV11">SUM(OfficeForms.Table[[#This Row],[Función Operativa. Informar sobre el estado del proyecto/programa a la alta dirección.]:[Función Operativa. Gestionar documentación  proyecto y positorio de gestión del conocimiento.]]/5)</f>
        <v>3.2</v>
      </c>
      <c r="BU11"/>
    </row>
    <row r="12" spans="1:73">
      <c r="A12" s="13">
        <v>10</v>
      </c>
      <c r="B12" s="1" t="s">
        <v>76</v>
      </c>
      <c r="C12" s="1" t="s">
        <v>79</v>
      </c>
      <c r="D12" s="1" t="s">
        <v>0</v>
      </c>
      <c r="E12" s="1" t="s">
        <v>59</v>
      </c>
      <c r="F12" s="1" t="s">
        <v>62</v>
      </c>
      <c r="G12" s="1" t="s">
        <v>66</v>
      </c>
      <c r="H12">
        <v>3</v>
      </c>
      <c r="I12" s="5" t="s">
        <v>68</v>
      </c>
      <c r="J12" t="s">
        <v>4</v>
      </c>
      <c r="K12">
        <v>3</v>
      </c>
      <c r="L12">
        <v>3</v>
      </c>
      <c r="M12">
        <v>3</v>
      </c>
      <c r="N12">
        <v>3</v>
      </c>
      <c r="O12">
        <v>3</v>
      </c>
      <c r="P12">
        <v>3</v>
      </c>
      <c r="Q12">
        <v>3</v>
      </c>
      <c r="R12">
        <v>2</v>
      </c>
      <c r="S12">
        <v>4</v>
      </c>
      <c r="T12">
        <v>3</v>
      </c>
      <c r="U12">
        <v>2</v>
      </c>
      <c r="V12">
        <v>5</v>
      </c>
      <c r="W12" s="7" cm="1">
        <f t="array" ref="W12">SUM(OfficeForms.Table[[#This Row],[Gestión del alcance ]:[Gestión de compra ]]/9)</f>
        <v>3.1111111111111107</v>
      </c>
      <c r="X12" s="7">
        <v>2</v>
      </c>
      <c r="Y12" s="7">
        <v>2</v>
      </c>
      <c r="Z12" s="7">
        <v>3</v>
      </c>
      <c r="AA12" s="7">
        <v>3</v>
      </c>
      <c r="AB12" s="7">
        <v>3</v>
      </c>
      <c r="AC12" s="7" cm="1">
        <f t="array" ref="AC12">SUM(OfficeForms.Table[[#This Row],[Personas]:[Relaciones]]/5)</f>
        <v>2.6</v>
      </c>
      <c r="AD12">
        <v>4</v>
      </c>
      <c r="AE12">
        <v>4</v>
      </c>
      <c r="AF12">
        <v>4</v>
      </c>
      <c r="AG12">
        <v>4</v>
      </c>
      <c r="AH12">
        <v>4</v>
      </c>
      <c r="AJ12" cm="1">
        <f t="array" ref="AJ12">SUM(OfficeForms.Table[[#This Row],[Función Estratégica.Proporcionar asesoramiento a la alta dirección]:[Función Estratégica.Supervisar y controlar el desempeño de la propia PMO.]]/5)</f>
        <v>4</v>
      </c>
      <c r="AK12" s="1">
        <v>3</v>
      </c>
      <c r="AL12" s="1">
        <v>3</v>
      </c>
      <c r="AM12" s="1">
        <v>3</v>
      </c>
      <c r="AN12" s="1">
        <v>3</v>
      </c>
      <c r="AO12" s="1">
        <v>3</v>
      </c>
      <c r="AP12" s="7" cm="1">
        <f t="array" ref="AP12">SUM(OfficeForms.Table[[#This Row],[Función Táctica. Desarrollar e implementar una metodología estándar de gestión de proyectos.]:[Función Táctica.  Gestionar la base de datos de riesgos ]]/5)</f>
        <v>3</v>
      </c>
      <c r="AQ12" s="1">
        <v>4</v>
      </c>
      <c r="AR12" s="1">
        <v>4</v>
      </c>
      <c r="AS12" s="1">
        <v>4</v>
      </c>
      <c r="AT12" s="1">
        <v>4</v>
      </c>
      <c r="AU12" s="1">
        <v>4</v>
      </c>
      <c r="AV12" s="7" cm="1">
        <f t="array" ref="AV12">SUM(OfficeForms.Table[[#This Row],[Función Operativa. Informar sobre el estado del proyecto/programa a la alta dirección.]:[Función Operativa. Gestionar documentación  proyecto y positorio de gestión del conocimiento.]]/5)</f>
        <v>4</v>
      </c>
      <c r="BU12"/>
    </row>
    <row r="13" spans="1:73">
      <c r="A13" s="13">
        <v>11</v>
      </c>
      <c r="B13" s="3" t="s">
        <v>77</v>
      </c>
      <c r="C13" s="3" t="s">
        <v>82</v>
      </c>
      <c r="D13" s="3" t="s">
        <v>84</v>
      </c>
      <c r="E13" s="3" t="s">
        <v>58</v>
      </c>
      <c r="F13" s="3" t="s">
        <v>62</v>
      </c>
      <c r="G13" s="3" t="s">
        <v>65</v>
      </c>
      <c r="H13" s="4">
        <v>3</v>
      </c>
      <c r="I13" s="6" t="s">
        <v>67</v>
      </c>
      <c r="J13" s="4" t="s">
        <v>6</v>
      </c>
      <c r="K13" s="4">
        <v>1</v>
      </c>
      <c r="L13" s="4">
        <v>2</v>
      </c>
      <c r="M13" s="4">
        <v>1</v>
      </c>
      <c r="N13" s="4">
        <v>1</v>
      </c>
      <c r="O13" s="4">
        <v>2</v>
      </c>
      <c r="P13" s="4">
        <v>2</v>
      </c>
      <c r="Q13" s="4">
        <v>2</v>
      </c>
      <c r="R13" s="4">
        <v>2</v>
      </c>
      <c r="S13" s="4">
        <v>2</v>
      </c>
      <c r="T13" s="4">
        <v>2</v>
      </c>
      <c r="U13" s="4">
        <v>1</v>
      </c>
      <c r="V13" s="4">
        <v>5</v>
      </c>
      <c r="W13" s="8" cm="1">
        <f t="array" ref="W13">SUM(OfficeForms.Table[[#This Row],[Gestión del alcance ]:[Gestión de compra ]]/9)</f>
        <v>2.1111111111111116</v>
      </c>
      <c r="X13" s="8">
        <v>2</v>
      </c>
      <c r="Y13" s="8">
        <v>2</v>
      </c>
      <c r="Z13" s="8">
        <v>0</v>
      </c>
      <c r="AA13" s="8">
        <v>1</v>
      </c>
      <c r="AB13" s="8">
        <v>1</v>
      </c>
      <c r="AC13" s="8" cm="1">
        <f t="array" ref="AC13">SUM(OfficeForms.Table[[#This Row],[Personas]:[Relaciones]]/5)</f>
        <v>1.2</v>
      </c>
      <c r="AD13" s="4">
        <v>1</v>
      </c>
      <c r="AE13" s="4">
        <v>1</v>
      </c>
      <c r="AF13" s="4">
        <v>1</v>
      </c>
      <c r="AG13" s="4">
        <v>1</v>
      </c>
      <c r="AH13" s="4">
        <v>1</v>
      </c>
      <c r="AI13" s="4"/>
      <c r="AJ13" s="4" cm="1">
        <f t="array" ref="AJ13">SUM(OfficeForms.Table[[#This Row],[Función Estratégica.Proporcionar asesoramiento a la alta dirección]:[Función Estratégica.Supervisar y controlar el desempeño de la propia PMO.]]/5)</f>
        <v>1</v>
      </c>
      <c r="AK13" s="3">
        <v>1</v>
      </c>
      <c r="AL13" s="3">
        <v>1</v>
      </c>
      <c r="AM13" s="3">
        <v>1</v>
      </c>
      <c r="AN13" s="3">
        <v>1</v>
      </c>
      <c r="AO13" s="3">
        <v>1</v>
      </c>
      <c r="AP13" s="8" cm="1">
        <f t="array" ref="AP13">SUM(OfficeForms.Table[[#This Row],[Función Táctica. Desarrollar e implementar una metodología estándar de gestión de proyectos.]:[Función Táctica.  Gestionar la base de datos de riesgos ]]/5)</f>
        <v>1</v>
      </c>
      <c r="AQ13" s="3">
        <v>4</v>
      </c>
      <c r="AR13" s="3">
        <v>4</v>
      </c>
      <c r="AS13" s="3">
        <v>2</v>
      </c>
      <c r="AT13" s="3">
        <v>4</v>
      </c>
      <c r="AU13" s="3">
        <v>1</v>
      </c>
      <c r="AV13" s="8" cm="1">
        <f t="array" ref="AV13">SUM(OfficeForms.Table[[#This Row],[Función Operativa. Informar sobre el estado del proyecto/programa a la alta dirección.]:[Función Operativa. Gestionar documentación  proyecto y positorio de gestión del conocimiento.]]/5)</f>
        <v>3</v>
      </c>
      <c r="BU13"/>
    </row>
    <row r="14" spans="1:73">
      <c r="A14" s="13">
        <v>12</v>
      </c>
      <c r="B14" s="3" t="s">
        <v>74</v>
      </c>
      <c r="C14" s="3" t="s">
        <v>79</v>
      </c>
      <c r="D14" s="3" t="s">
        <v>0</v>
      </c>
      <c r="E14" s="3" t="s">
        <v>59</v>
      </c>
      <c r="F14" s="3" t="s">
        <v>61</v>
      </c>
      <c r="G14" s="3" t="s">
        <v>64</v>
      </c>
      <c r="H14" s="4">
        <v>4</v>
      </c>
      <c r="I14" s="6" t="s">
        <v>69</v>
      </c>
      <c r="J14" s="4" t="s">
        <v>9</v>
      </c>
      <c r="K14" s="4">
        <v>4</v>
      </c>
      <c r="L14" s="4">
        <v>4</v>
      </c>
      <c r="M14" s="4">
        <v>4</v>
      </c>
      <c r="N14" s="4">
        <v>4</v>
      </c>
      <c r="O14" s="4">
        <v>5</v>
      </c>
      <c r="P14" s="4">
        <v>5</v>
      </c>
      <c r="Q14" s="4">
        <v>5</v>
      </c>
      <c r="R14" s="4">
        <v>5</v>
      </c>
      <c r="S14" s="4">
        <v>5</v>
      </c>
      <c r="T14" s="4">
        <v>5</v>
      </c>
      <c r="U14" s="4">
        <v>5</v>
      </c>
      <c r="V14" s="4">
        <v>4</v>
      </c>
      <c r="W14" s="8" cm="1">
        <f t="array" ref="W14">SUM(OfficeForms.Table[[#This Row],[Gestión del alcance ]:[Gestión de compra ]]/9)</f>
        <v>4.7777777777777777</v>
      </c>
      <c r="X14" s="8">
        <v>5</v>
      </c>
      <c r="Y14" s="8">
        <v>5</v>
      </c>
      <c r="Z14" s="8">
        <v>5</v>
      </c>
      <c r="AA14" s="8">
        <v>5</v>
      </c>
      <c r="AB14" s="8">
        <v>5</v>
      </c>
      <c r="AC14" s="8" cm="1">
        <f t="array" ref="AC14">SUM(OfficeForms.Table[[#This Row],[Personas]:[Relaciones]]/5)</f>
        <v>5</v>
      </c>
      <c r="AD14" s="4">
        <v>5</v>
      </c>
      <c r="AE14" s="4">
        <v>5</v>
      </c>
      <c r="AF14" s="4">
        <v>5</v>
      </c>
      <c r="AG14" s="4">
        <v>5</v>
      </c>
      <c r="AH14" s="4">
        <v>5</v>
      </c>
      <c r="AI14" s="4"/>
      <c r="AJ14" s="4" cm="1">
        <f t="array" ref="AJ14">SUM(OfficeForms.Table[[#This Row],[Función Estratégica.Proporcionar asesoramiento a la alta dirección]:[Función Estratégica.Supervisar y controlar el desempeño de la propia PMO.]]/5)</f>
        <v>5</v>
      </c>
      <c r="AK14" s="3">
        <v>5</v>
      </c>
      <c r="AL14" s="3">
        <v>5</v>
      </c>
      <c r="AM14" s="3">
        <v>5</v>
      </c>
      <c r="AN14" s="3">
        <v>5</v>
      </c>
      <c r="AO14" s="3">
        <v>5</v>
      </c>
      <c r="AP14" s="8" cm="1">
        <f t="array" ref="AP14">SUM(OfficeForms.Table[[#This Row],[Función Táctica. Desarrollar e implementar una metodología estándar de gestión de proyectos.]:[Función Táctica.  Gestionar la base de datos de riesgos ]]/5)</f>
        <v>5</v>
      </c>
      <c r="AQ14" s="3">
        <v>5</v>
      </c>
      <c r="AR14" s="3">
        <v>5</v>
      </c>
      <c r="AS14" s="3">
        <v>5</v>
      </c>
      <c r="AT14" s="3">
        <v>5</v>
      </c>
      <c r="AU14" s="3">
        <v>5</v>
      </c>
      <c r="AV14" s="8" cm="1">
        <f t="array" ref="AV14">SUM(OfficeForms.Table[[#This Row],[Función Operativa. Informar sobre el estado del proyecto/programa a la alta dirección.]:[Función Operativa. Gestionar documentación  proyecto y positorio de gestión del conocimiento.]]/5)</f>
        <v>5</v>
      </c>
      <c r="BU14"/>
    </row>
    <row r="15" spans="1:73">
      <c r="A15" s="13">
        <v>13</v>
      </c>
      <c r="B15" s="3" t="s">
        <v>74</v>
      </c>
      <c r="C15" s="3" t="s">
        <v>80</v>
      </c>
      <c r="D15" s="3" t="s">
        <v>2</v>
      </c>
      <c r="E15" s="3" t="s">
        <v>56</v>
      </c>
      <c r="F15" s="3" t="s">
        <v>3</v>
      </c>
      <c r="G15" s="3" t="s">
        <v>65</v>
      </c>
      <c r="H15" s="4">
        <v>3</v>
      </c>
      <c r="I15" s="6" t="s">
        <v>70</v>
      </c>
      <c r="J15" s="4" t="s">
        <v>14</v>
      </c>
      <c r="K15" s="4">
        <v>3</v>
      </c>
      <c r="L15" s="4">
        <v>3</v>
      </c>
      <c r="M15" s="4">
        <v>3</v>
      </c>
      <c r="N15" s="4">
        <v>3</v>
      </c>
      <c r="O15" s="4">
        <v>3</v>
      </c>
      <c r="P15" s="4">
        <v>3</v>
      </c>
      <c r="Q15" s="4">
        <v>3</v>
      </c>
      <c r="R15" s="4">
        <v>3</v>
      </c>
      <c r="S15" s="4">
        <v>3</v>
      </c>
      <c r="T15" s="4">
        <v>3</v>
      </c>
      <c r="U15" s="4">
        <v>3</v>
      </c>
      <c r="V15" s="4">
        <v>3</v>
      </c>
      <c r="W15" s="8" cm="1">
        <f t="array" ref="W15">SUM(OfficeForms.Table[[#This Row],[Gestión del alcance ]:[Gestión de compra ]]/9)</f>
        <v>3</v>
      </c>
      <c r="X15" s="8">
        <v>3</v>
      </c>
      <c r="Y15" s="8">
        <v>3</v>
      </c>
      <c r="Z15" s="8">
        <v>3</v>
      </c>
      <c r="AA15" s="8">
        <v>3</v>
      </c>
      <c r="AB15" s="8">
        <v>3</v>
      </c>
      <c r="AC15" s="8" cm="1">
        <f t="array" ref="AC15">SUM(OfficeForms.Table[[#This Row],[Personas]:[Relaciones]]/5)</f>
        <v>3</v>
      </c>
      <c r="AD15" s="4">
        <v>4</v>
      </c>
      <c r="AE15" s="4">
        <v>4</v>
      </c>
      <c r="AF15" s="4">
        <v>4</v>
      </c>
      <c r="AG15" s="4">
        <v>4</v>
      </c>
      <c r="AH15" s="4">
        <v>4</v>
      </c>
      <c r="AI15" s="4"/>
      <c r="AJ15" s="4" cm="1">
        <f t="array" ref="AJ15">SUM(OfficeForms.Table[[#This Row],[Función Estratégica.Proporcionar asesoramiento a la alta dirección]:[Función Estratégica.Supervisar y controlar el desempeño de la propia PMO.]]/5)</f>
        <v>4</v>
      </c>
      <c r="AK15" s="3">
        <v>3</v>
      </c>
      <c r="AL15" s="3">
        <v>3</v>
      </c>
      <c r="AM15" s="3">
        <v>3</v>
      </c>
      <c r="AN15" s="3">
        <v>3</v>
      </c>
      <c r="AO15" s="3">
        <v>3</v>
      </c>
      <c r="AP15" s="8" cm="1">
        <f t="array" ref="AP15">SUM(OfficeForms.Table[[#This Row],[Función Táctica. Desarrollar e implementar una metodología estándar de gestión de proyectos.]:[Función Táctica.  Gestionar la base de datos de riesgos ]]/5)</f>
        <v>3</v>
      </c>
      <c r="AQ15" s="3">
        <v>4</v>
      </c>
      <c r="AR15" s="3">
        <v>4</v>
      </c>
      <c r="AS15" s="3">
        <v>4</v>
      </c>
      <c r="AT15" s="3">
        <v>4</v>
      </c>
      <c r="AU15" s="3">
        <v>4</v>
      </c>
      <c r="AV15" s="8" cm="1">
        <f t="array" ref="AV15">SUM(OfficeForms.Table[[#This Row],[Función Operativa. Informar sobre el estado del proyecto/programa a la alta dirección.]:[Función Operativa. Gestionar documentación  proyecto y positorio de gestión del conocimiento.]]/5)</f>
        <v>4</v>
      </c>
      <c r="BU15"/>
    </row>
    <row r="16" spans="1:73">
      <c r="A16" s="13">
        <v>14</v>
      </c>
      <c r="B16" s="1" t="s">
        <v>74</v>
      </c>
      <c r="C16" s="1" t="s">
        <v>80</v>
      </c>
      <c r="D16" s="1" t="s">
        <v>2</v>
      </c>
      <c r="E16" s="1" t="s">
        <v>56</v>
      </c>
      <c r="F16" s="1" t="s">
        <v>62</v>
      </c>
      <c r="G16" s="1" t="s">
        <v>64</v>
      </c>
      <c r="H16">
        <v>3</v>
      </c>
      <c r="I16" s="5" t="s">
        <v>69</v>
      </c>
      <c r="J16" t="s">
        <v>4</v>
      </c>
      <c r="K16">
        <v>2</v>
      </c>
      <c r="L16">
        <v>3</v>
      </c>
      <c r="M16">
        <v>3</v>
      </c>
      <c r="N16">
        <v>3</v>
      </c>
      <c r="O16">
        <v>3</v>
      </c>
      <c r="P16">
        <v>3</v>
      </c>
      <c r="Q16">
        <v>3</v>
      </c>
      <c r="R16">
        <v>3</v>
      </c>
      <c r="S16">
        <v>3</v>
      </c>
      <c r="T16">
        <v>3</v>
      </c>
      <c r="U16">
        <v>3</v>
      </c>
      <c r="V16">
        <v>3</v>
      </c>
      <c r="W16" s="7" cm="1">
        <f t="array" ref="W16">SUM(OfficeForms.Table[[#This Row],[Gestión del alcance ]:[Gestión de compra ]]/9)</f>
        <v>3</v>
      </c>
      <c r="X16" s="8">
        <v>3</v>
      </c>
      <c r="Y16" s="7">
        <v>3</v>
      </c>
      <c r="Z16" s="7">
        <v>3</v>
      </c>
      <c r="AA16" s="7">
        <v>3</v>
      </c>
      <c r="AB16" s="7">
        <v>3</v>
      </c>
      <c r="AC16" s="7" cm="1">
        <f t="array" ref="AC16">SUM(OfficeForms.Table[[#This Row],[Personas]:[Relaciones]]/5)</f>
        <v>3</v>
      </c>
      <c r="AD16">
        <v>4</v>
      </c>
      <c r="AE16">
        <v>4</v>
      </c>
      <c r="AF16">
        <v>2</v>
      </c>
      <c r="AG16">
        <v>4</v>
      </c>
      <c r="AH16">
        <v>2</v>
      </c>
      <c r="AJ16" cm="1">
        <f t="array" ref="AJ16">SUM(OfficeForms.Table[[#This Row],[Función Estratégica.Proporcionar asesoramiento a la alta dirección]:[Función Estratégica.Supervisar y controlar el desempeño de la propia PMO.]]/5)</f>
        <v>3.1999999999999997</v>
      </c>
      <c r="AK16" s="1">
        <v>4</v>
      </c>
      <c r="AL16" s="1">
        <v>4</v>
      </c>
      <c r="AM16" s="1">
        <v>4</v>
      </c>
      <c r="AN16" s="1">
        <v>4</v>
      </c>
      <c r="AO16" s="1">
        <v>4</v>
      </c>
      <c r="AP16" s="7" cm="1">
        <f t="array" ref="AP16">SUM(OfficeForms.Table[[#This Row],[Función Táctica. Desarrollar e implementar una metodología estándar de gestión de proyectos.]:[Función Táctica.  Gestionar la base de datos de riesgos ]]/5)</f>
        <v>4</v>
      </c>
      <c r="AQ16" s="1">
        <v>4</v>
      </c>
      <c r="AR16" s="1">
        <v>4</v>
      </c>
      <c r="AS16" s="1">
        <v>4</v>
      </c>
      <c r="AT16" s="1">
        <v>4</v>
      </c>
      <c r="AU16" s="1">
        <v>4</v>
      </c>
      <c r="AV16" s="7" cm="1">
        <f t="array" ref="AV16">SUM(OfficeForms.Table[[#This Row],[Función Operativa. Informar sobre el estado del proyecto/programa a la alta dirección.]:[Función Operativa. Gestionar documentación  proyecto y positorio de gestión del conocimiento.]]/5)</f>
        <v>4</v>
      </c>
      <c r="BU16"/>
    </row>
    <row r="17" spans="1:73">
      <c r="A17" s="13">
        <v>15</v>
      </c>
      <c r="B17" s="1" t="s">
        <v>75</v>
      </c>
      <c r="C17" s="1" t="s">
        <v>80</v>
      </c>
      <c r="D17" s="1" t="s">
        <v>2</v>
      </c>
      <c r="E17" s="1" t="s">
        <v>59</v>
      </c>
      <c r="F17" s="1" t="s">
        <v>61</v>
      </c>
      <c r="G17" s="1" t="s">
        <v>65</v>
      </c>
      <c r="H17">
        <v>4</v>
      </c>
      <c r="I17" s="5" t="s">
        <v>69</v>
      </c>
      <c r="J17" t="s">
        <v>4</v>
      </c>
      <c r="K17">
        <v>5</v>
      </c>
      <c r="L17">
        <v>5</v>
      </c>
      <c r="M17">
        <v>5</v>
      </c>
      <c r="N17">
        <v>4</v>
      </c>
      <c r="O17">
        <v>5</v>
      </c>
      <c r="P17">
        <v>5</v>
      </c>
      <c r="Q17">
        <v>5</v>
      </c>
      <c r="R17">
        <v>5</v>
      </c>
      <c r="S17">
        <v>5</v>
      </c>
      <c r="T17">
        <v>5</v>
      </c>
      <c r="U17">
        <v>5</v>
      </c>
      <c r="V17">
        <v>5</v>
      </c>
      <c r="W17" s="7" cm="1">
        <f t="array" ref="W17">SUM(OfficeForms.Table[[#This Row],[Gestión del alcance ]:[Gestión de compra ]]/9)</f>
        <v>4.8888888888888884</v>
      </c>
      <c r="X17" s="7">
        <v>5</v>
      </c>
      <c r="Y17" s="7">
        <v>5</v>
      </c>
      <c r="Z17" s="7">
        <v>5</v>
      </c>
      <c r="AA17" s="7">
        <v>5</v>
      </c>
      <c r="AB17" s="7">
        <v>5</v>
      </c>
      <c r="AC17" s="7" cm="1">
        <f t="array" ref="AC17">SUM(OfficeForms.Table[[#This Row],[Personas]:[Relaciones]]/5)</f>
        <v>5</v>
      </c>
      <c r="AD17">
        <v>5</v>
      </c>
      <c r="AE17">
        <v>5</v>
      </c>
      <c r="AF17">
        <v>5</v>
      </c>
      <c r="AG17">
        <v>5</v>
      </c>
      <c r="AH17">
        <v>5</v>
      </c>
      <c r="AJ17" cm="1">
        <f t="array" ref="AJ17">SUM(OfficeForms.Table[[#This Row],[Función Estratégica.Proporcionar asesoramiento a la alta dirección]:[Función Estratégica.Supervisar y controlar el desempeño de la propia PMO.]]/5)</f>
        <v>5</v>
      </c>
      <c r="AK17" s="1">
        <v>5</v>
      </c>
      <c r="AL17" s="1">
        <v>5</v>
      </c>
      <c r="AM17" s="1">
        <v>5</v>
      </c>
      <c r="AN17" s="1">
        <v>5</v>
      </c>
      <c r="AO17" s="1">
        <v>5</v>
      </c>
      <c r="AP17" s="7" cm="1">
        <f t="array" ref="AP17">SUM(OfficeForms.Table[[#This Row],[Función Táctica. Desarrollar e implementar una metodología estándar de gestión de proyectos.]:[Función Táctica.  Gestionar la base de datos de riesgos ]]/5)</f>
        <v>5</v>
      </c>
      <c r="AQ17" s="1">
        <v>5</v>
      </c>
      <c r="AR17" s="1">
        <v>5</v>
      </c>
      <c r="AS17" s="1">
        <v>5</v>
      </c>
      <c r="AT17" s="1">
        <v>5</v>
      </c>
      <c r="AU17" s="1">
        <v>5</v>
      </c>
      <c r="AV17" s="7" cm="1">
        <f t="array" ref="AV17">SUM(OfficeForms.Table[[#This Row],[Función Operativa. Informar sobre el estado del proyecto/programa a la alta dirección.]:[Función Operativa. Gestionar documentación  proyecto y positorio de gestión del conocimiento.]]/5)</f>
        <v>5</v>
      </c>
      <c r="BU17"/>
    </row>
    <row r="18" spans="1:73">
      <c r="A18" s="13">
        <v>16</v>
      </c>
      <c r="B18" s="1" t="s">
        <v>74</v>
      </c>
      <c r="C18" s="1" t="s">
        <v>79</v>
      </c>
      <c r="D18" s="1" t="s">
        <v>2</v>
      </c>
      <c r="E18" s="1" t="s">
        <v>56</v>
      </c>
      <c r="F18" s="1" t="s">
        <v>61</v>
      </c>
      <c r="G18" s="1" t="s">
        <v>66</v>
      </c>
      <c r="H18">
        <v>4</v>
      </c>
      <c r="I18" s="5" t="s">
        <v>70</v>
      </c>
      <c r="J18" t="s">
        <v>4</v>
      </c>
      <c r="K18">
        <v>4</v>
      </c>
      <c r="L18">
        <v>4</v>
      </c>
      <c r="M18">
        <v>4</v>
      </c>
      <c r="N18">
        <v>4</v>
      </c>
      <c r="O18">
        <v>4</v>
      </c>
      <c r="P18">
        <v>5</v>
      </c>
      <c r="Q18">
        <v>5</v>
      </c>
      <c r="R18">
        <v>4</v>
      </c>
      <c r="S18">
        <v>4</v>
      </c>
      <c r="T18">
        <v>5</v>
      </c>
      <c r="U18">
        <v>4</v>
      </c>
      <c r="V18">
        <v>5</v>
      </c>
      <c r="W18" s="7" cm="1">
        <f t="array" ref="W18">SUM(OfficeForms.Table[[#This Row],[Gestión del alcance ]:[Gestión de compra ]]/9)</f>
        <v>4.4444444444444446</v>
      </c>
      <c r="X18" s="7">
        <v>5</v>
      </c>
      <c r="Y18" s="7">
        <v>5</v>
      </c>
      <c r="Z18" s="7">
        <v>4</v>
      </c>
      <c r="AA18" s="7">
        <v>5</v>
      </c>
      <c r="AB18" s="7">
        <v>5</v>
      </c>
      <c r="AC18" s="7" cm="1">
        <f t="array" ref="AC18">SUM(OfficeForms.Table[[#This Row],[Personas]:[Relaciones]]/5)</f>
        <v>4.8</v>
      </c>
      <c r="AD18">
        <v>4</v>
      </c>
      <c r="AE18">
        <v>4</v>
      </c>
      <c r="AF18">
        <v>4</v>
      </c>
      <c r="AG18">
        <v>4</v>
      </c>
      <c r="AH18">
        <v>4</v>
      </c>
      <c r="AJ18" cm="1">
        <f t="array" ref="AJ18">SUM(OfficeForms.Table[[#This Row],[Función Estratégica.Proporcionar asesoramiento a la alta dirección]:[Función Estratégica.Supervisar y controlar el desempeño de la propia PMO.]]/5)</f>
        <v>4</v>
      </c>
      <c r="AK18" s="1">
        <v>4</v>
      </c>
      <c r="AL18" s="1">
        <v>4</v>
      </c>
      <c r="AM18" s="1">
        <v>4</v>
      </c>
      <c r="AN18" s="1">
        <v>4</v>
      </c>
      <c r="AO18" s="1">
        <v>4</v>
      </c>
      <c r="AP18" s="7" cm="1">
        <f t="array" ref="AP18">SUM(OfficeForms.Table[[#This Row],[Función Táctica. Desarrollar e implementar una metodología estándar de gestión de proyectos.]:[Función Táctica.  Gestionar la base de datos de riesgos ]]/5)</f>
        <v>4</v>
      </c>
      <c r="AQ18" s="1">
        <v>4</v>
      </c>
      <c r="AR18" s="1">
        <v>4</v>
      </c>
      <c r="AS18" s="1">
        <v>4</v>
      </c>
      <c r="AT18" s="1">
        <v>4</v>
      </c>
      <c r="AU18" s="1">
        <v>4</v>
      </c>
      <c r="AV18" s="7" cm="1">
        <f t="array" ref="AV18">SUM(OfficeForms.Table[[#This Row],[Función Operativa. Informar sobre el estado del proyecto/programa a la alta dirección.]:[Función Operativa. Gestionar documentación  proyecto y positorio de gestión del conocimiento.]]/5)</f>
        <v>4</v>
      </c>
      <c r="BU18"/>
    </row>
    <row r="19" spans="1:73">
      <c r="A19" s="13">
        <v>17</v>
      </c>
      <c r="B19" s="1" t="s">
        <v>75</v>
      </c>
      <c r="C19" s="1" t="s">
        <v>80</v>
      </c>
      <c r="D19" s="1" t="s">
        <v>0</v>
      </c>
      <c r="E19" s="1" t="s">
        <v>56</v>
      </c>
      <c r="F19" s="1" t="s">
        <v>3</v>
      </c>
      <c r="G19" s="1" t="s">
        <v>64</v>
      </c>
      <c r="H19">
        <v>2</v>
      </c>
      <c r="I19" s="5" t="s">
        <v>25</v>
      </c>
      <c r="J19" t="s">
        <v>19</v>
      </c>
      <c r="K19">
        <v>3</v>
      </c>
      <c r="L19">
        <v>3</v>
      </c>
      <c r="M19">
        <v>3</v>
      </c>
      <c r="N19">
        <v>1</v>
      </c>
      <c r="O19">
        <v>2</v>
      </c>
      <c r="P19">
        <v>2</v>
      </c>
      <c r="Q19">
        <v>2</v>
      </c>
      <c r="R19">
        <v>1</v>
      </c>
      <c r="S19">
        <v>1</v>
      </c>
      <c r="T19">
        <v>2</v>
      </c>
      <c r="U19">
        <v>1</v>
      </c>
      <c r="V19">
        <v>1</v>
      </c>
      <c r="W19" s="7" cm="1">
        <f t="array" ref="W19">SUM(OfficeForms.Table[[#This Row],[Gestión del alcance ]:[Gestión de compra ]]/9)</f>
        <v>1.4444444444444446</v>
      </c>
      <c r="X19" s="7">
        <v>0</v>
      </c>
      <c r="Y19" s="7">
        <v>0</v>
      </c>
      <c r="Z19" s="7">
        <v>0</v>
      </c>
      <c r="AA19" s="7">
        <v>1</v>
      </c>
      <c r="AB19" s="7">
        <v>0</v>
      </c>
      <c r="AC19" s="7" cm="1">
        <f t="array" ref="AC19">SUM(OfficeForms.Table[[#This Row],[Personas]:[Relaciones]]/5)</f>
        <v>0.2</v>
      </c>
      <c r="AD19">
        <v>3</v>
      </c>
      <c r="AE19">
        <v>3</v>
      </c>
      <c r="AF19">
        <v>2</v>
      </c>
      <c r="AG19">
        <v>2</v>
      </c>
      <c r="AH19">
        <v>1</v>
      </c>
      <c r="AJ19" cm="1">
        <f t="array" ref="AJ19">SUM(OfficeForms.Table[[#This Row],[Función Estratégica.Proporcionar asesoramiento a la alta dirección]:[Función Estratégica.Supervisar y controlar el desempeño de la propia PMO.]]/5)</f>
        <v>2.2000000000000002</v>
      </c>
      <c r="AK19" s="1">
        <v>3</v>
      </c>
      <c r="AL19" s="1">
        <v>2</v>
      </c>
      <c r="AM19" s="1">
        <v>2</v>
      </c>
      <c r="AN19" s="1">
        <v>2</v>
      </c>
      <c r="AO19" s="1">
        <v>2</v>
      </c>
      <c r="AP19" s="7" cm="1">
        <f t="array" ref="AP19">SUM(OfficeForms.Table[[#This Row],[Función Táctica. Desarrollar e implementar una metodología estándar de gestión de proyectos.]:[Función Táctica.  Gestionar la base de datos de riesgos ]]/5)</f>
        <v>2.1999999999999997</v>
      </c>
      <c r="AQ19" s="1">
        <v>2</v>
      </c>
      <c r="AR19" s="1">
        <v>2</v>
      </c>
      <c r="AS19" s="1">
        <v>2</v>
      </c>
      <c r="AT19" s="1">
        <v>2</v>
      </c>
      <c r="AU19" s="1">
        <v>2</v>
      </c>
      <c r="AV19" s="7" cm="1">
        <f t="array" ref="AV19">SUM(OfficeForms.Table[[#This Row],[Función Operativa. Informar sobre el estado del proyecto/programa a la alta dirección.]:[Función Operativa. Gestionar documentación  proyecto y positorio de gestión del conocimiento.]]/5)</f>
        <v>2</v>
      </c>
      <c r="BU19"/>
    </row>
    <row r="20" spans="1:73">
      <c r="A20" s="13">
        <v>18</v>
      </c>
      <c r="B20" s="1" t="s">
        <v>74</v>
      </c>
      <c r="C20" s="1" t="s">
        <v>79</v>
      </c>
      <c r="D20" s="1" t="s">
        <v>0</v>
      </c>
      <c r="E20" s="1" t="s">
        <v>59</v>
      </c>
      <c r="F20" s="1" t="s">
        <v>61</v>
      </c>
      <c r="G20" s="1" t="s">
        <v>66</v>
      </c>
      <c r="H20">
        <v>4</v>
      </c>
      <c r="I20" s="5" t="s">
        <v>68</v>
      </c>
      <c r="J20" t="s">
        <v>14</v>
      </c>
      <c r="K20">
        <v>5</v>
      </c>
      <c r="L20">
        <v>5</v>
      </c>
      <c r="M20">
        <v>5</v>
      </c>
      <c r="N20">
        <v>4</v>
      </c>
      <c r="O20">
        <v>5</v>
      </c>
      <c r="P20">
        <v>5</v>
      </c>
      <c r="Q20">
        <v>5</v>
      </c>
      <c r="R20">
        <v>5</v>
      </c>
      <c r="S20">
        <v>5</v>
      </c>
      <c r="T20">
        <v>5</v>
      </c>
      <c r="U20">
        <v>5</v>
      </c>
      <c r="V20">
        <v>5</v>
      </c>
      <c r="W20" s="7" cm="1">
        <f t="array" ref="W20">SUM(OfficeForms.Table[[#This Row],[Gestión del alcance ]:[Gestión de compra ]]/9)</f>
        <v>4.8888888888888884</v>
      </c>
      <c r="X20" s="7">
        <v>5</v>
      </c>
      <c r="Y20" s="7">
        <v>5</v>
      </c>
      <c r="Z20" s="7">
        <v>5</v>
      </c>
      <c r="AA20" s="7">
        <v>5</v>
      </c>
      <c r="AB20" s="7">
        <v>5</v>
      </c>
      <c r="AC20" s="7" cm="1">
        <f t="array" ref="AC20">SUM(OfficeForms.Table[[#This Row],[Personas]:[Relaciones]]/5)</f>
        <v>5</v>
      </c>
      <c r="AD20">
        <v>5</v>
      </c>
      <c r="AE20">
        <v>5</v>
      </c>
      <c r="AF20">
        <v>5</v>
      </c>
      <c r="AG20">
        <v>5</v>
      </c>
      <c r="AH20">
        <v>5</v>
      </c>
      <c r="AJ20" cm="1">
        <f t="array" ref="AJ20">SUM(OfficeForms.Table[[#This Row],[Función Estratégica.Proporcionar asesoramiento a la alta dirección]:[Función Estratégica.Supervisar y controlar el desempeño de la propia PMO.]]/5)</f>
        <v>5</v>
      </c>
      <c r="AK20" s="1">
        <v>5</v>
      </c>
      <c r="AL20" s="1">
        <v>5</v>
      </c>
      <c r="AM20" s="1">
        <v>5</v>
      </c>
      <c r="AN20" s="1">
        <v>5</v>
      </c>
      <c r="AO20" s="1">
        <v>5</v>
      </c>
      <c r="AP20" s="7" cm="1">
        <f t="array" ref="AP20">SUM(OfficeForms.Table[[#This Row],[Función Táctica. Desarrollar e implementar una metodología estándar de gestión de proyectos.]:[Función Táctica.  Gestionar la base de datos de riesgos ]]/5)</f>
        <v>5</v>
      </c>
      <c r="AQ20" s="1">
        <v>5</v>
      </c>
      <c r="AR20" s="1">
        <v>5</v>
      </c>
      <c r="AS20" s="1">
        <v>5</v>
      </c>
      <c r="AT20" s="1">
        <v>5</v>
      </c>
      <c r="AU20" s="1">
        <v>5</v>
      </c>
      <c r="AV20" s="7" cm="1">
        <f t="array" ref="AV20">SUM(OfficeForms.Table[[#This Row],[Función Operativa. Informar sobre el estado del proyecto/programa a la alta dirección.]:[Función Operativa. Gestionar documentación  proyecto y positorio de gestión del conocimiento.]]/5)</f>
        <v>5</v>
      </c>
      <c r="BU20"/>
    </row>
    <row r="21" spans="1:73">
      <c r="A21" s="13">
        <v>19</v>
      </c>
      <c r="B21" s="1" t="s">
        <v>74</v>
      </c>
      <c r="C21" s="1" t="s">
        <v>80</v>
      </c>
      <c r="D21" s="1" t="s">
        <v>2</v>
      </c>
      <c r="E21" s="1" t="s">
        <v>56</v>
      </c>
      <c r="F21" s="1" t="s">
        <v>3</v>
      </c>
      <c r="G21" s="1" t="s">
        <v>64</v>
      </c>
      <c r="H21">
        <v>3</v>
      </c>
      <c r="I21" s="5" t="s">
        <v>25</v>
      </c>
      <c r="J21" t="s">
        <v>4</v>
      </c>
      <c r="K21">
        <v>3</v>
      </c>
      <c r="L21">
        <v>4</v>
      </c>
      <c r="M21">
        <v>4</v>
      </c>
      <c r="N21">
        <v>2</v>
      </c>
      <c r="O21">
        <v>2</v>
      </c>
      <c r="P21">
        <v>2</v>
      </c>
      <c r="Q21">
        <v>2</v>
      </c>
      <c r="R21">
        <v>2</v>
      </c>
      <c r="S21">
        <v>2</v>
      </c>
      <c r="T21">
        <v>2</v>
      </c>
      <c r="U21">
        <v>1</v>
      </c>
      <c r="V21">
        <v>4</v>
      </c>
      <c r="W21" s="7" cm="1">
        <f t="array" ref="W21">SUM(OfficeForms.Table[[#This Row],[Gestión del alcance ]:[Gestión de compra ]]/9)</f>
        <v>2.1111111111111116</v>
      </c>
      <c r="X21" s="7">
        <v>2</v>
      </c>
      <c r="Y21" s="7">
        <v>2</v>
      </c>
      <c r="Z21" s="7">
        <v>1</v>
      </c>
      <c r="AA21" s="7">
        <v>1</v>
      </c>
      <c r="AB21" s="7">
        <v>2</v>
      </c>
      <c r="AC21" s="7" cm="1">
        <f t="array" ref="AC21">SUM(OfficeForms.Table[[#This Row],[Personas]:[Relaciones]]/5)</f>
        <v>1.6</v>
      </c>
      <c r="AD21">
        <v>2</v>
      </c>
      <c r="AE21">
        <v>4</v>
      </c>
      <c r="AF21">
        <v>2</v>
      </c>
      <c r="AG21">
        <v>2</v>
      </c>
      <c r="AH21">
        <v>2</v>
      </c>
      <c r="AJ21" cm="1">
        <f t="array" ref="AJ21">SUM(OfficeForms.Table[[#This Row],[Función Estratégica.Proporcionar asesoramiento a la alta dirección]:[Función Estratégica.Supervisar y controlar el desempeño de la propia PMO.]]/5)</f>
        <v>2.4</v>
      </c>
      <c r="AK21" s="1">
        <v>4</v>
      </c>
      <c r="AL21" s="1">
        <v>2</v>
      </c>
      <c r="AM21" s="1">
        <v>4</v>
      </c>
      <c r="AN21" s="1">
        <v>4</v>
      </c>
      <c r="AO21" s="1">
        <v>1</v>
      </c>
      <c r="AP21" s="7" cm="1">
        <f t="array" ref="AP21">SUM(OfficeForms.Table[[#This Row],[Función Táctica. Desarrollar e implementar una metodología estándar de gestión de proyectos.]:[Función Táctica.  Gestionar la base de datos de riesgos ]]/5)</f>
        <v>3</v>
      </c>
      <c r="AQ21" s="1">
        <v>5</v>
      </c>
      <c r="AR21" s="1">
        <v>2</v>
      </c>
      <c r="AS21" s="1">
        <v>5</v>
      </c>
      <c r="AT21" s="1">
        <v>4</v>
      </c>
      <c r="AU21" s="1">
        <v>2</v>
      </c>
      <c r="AV21" s="7" cm="1">
        <f t="array" ref="AV21">SUM(OfficeForms.Table[[#This Row],[Función Operativa. Informar sobre el estado del proyecto/programa a la alta dirección.]:[Función Operativa. Gestionar documentación  proyecto y positorio de gestión del conocimiento.]]/5)</f>
        <v>3.6</v>
      </c>
      <c r="BU21"/>
    </row>
    <row r="22" spans="1:73">
      <c r="A22" s="13">
        <v>20</v>
      </c>
      <c r="B22" s="1" t="s">
        <v>75</v>
      </c>
      <c r="C22" s="1" t="s">
        <v>79</v>
      </c>
      <c r="D22" s="1" t="s">
        <v>0</v>
      </c>
      <c r="E22" s="1" t="s">
        <v>56</v>
      </c>
      <c r="F22" s="1" t="s">
        <v>3</v>
      </c>
      <c r="G22" s="1" t="s">
        <v>65</v>
      </c>
      <c r="H22">
        <v>4</v>
      </c>
      <c r="I22" s="5" t="s">
        <v>69</v>
      </c>
      <c r="J22" t="s">
        <v>22</v>
      </c>
      <c r="K22">
        <v>4</v>
      </c>
      <c r="L22">
        <v>5</v>
      </c>
      <c r="M22">
        <v>5</v>
      </c>
      <c r="N22">
        <v>3</v>
      </c>
      <c r="O22">
        <v>3</v>
      </c>
      <c r="P22">
        <v>3</v>
      </c>
      <c r="Q22">
        <v>3</v>
      </c>
      <c r="R22">
        <v>3</v>
      </c>
      <c r="S22">
        <v>3</v>
      </c>
      <c r="T22">
        <v>3</v>
      </c>
      <c r="U22">
        <v>3</v>
      </c>
      <c r="V22">
        <v>3</v>
      </c>
      <c r="W22" s="7" cm="1">
        <f t="array" ref="W22">SUM(OfficeForms.Table[[#This Row],[Gestión del alcance ]:[Gestión de compra ]]/9)</f>
        <v>3</v>
      </c>
      <c r="X22" s="7">
        <v>2</v>
      </c>
      <c r="Y22" s="7">
        <v>2</v>
      </c>
      <c r="Z22" s="7">
        <v>2</v>
      </c>
      <c r="AA22" s="7">
        <v>3</v>
      </c>
      <c r="AB22" s="7">
        <v>4</v>
      </c>
      <c r="AC22" s="7" cm="1">
        <f t="array" ref="AC22">SUM(OfficeForms.Table[[#This Row],[Personas]:[Relaciones]]/5)</f>
        <v>2.6000000000000005</v>
      </c>
      <c r="AD22">
        <v>5</v>
      </c>
      <c r="AE22">
        <v>5</v>
      </c>
      <c r="AF22">
        <v>5</v>
      </c>
      <c r="AG22">
        <v>5</v>
      </c>
      <c r="AH22">
        <v>5</v>
      </c>
      <c r="AJ22" cm="1">
        <f t="array" ref="AJ22">SUM(OfficeForms.Table[[#This Row],[Función Estratégica.Proporcionar asesoramiento a la alta dirección]:[Función Estratégica.Supervisar y controlar el desempeño de la propia PMO.]]/5)</f>
        <v>5</v>
      </c>
      <c r="AK22" s="1">
        <v>3</v>
      </c>
      <c r="AL22" s="1">
        <v>3</v>
      </c>
      <c r="AM22" s="1">
        <v>3</v>
      </c>
      <c r="AN22" s="1">
        <v>3</v>
      </c>
      <c r="AO22" s="1">
        <v>3</v>
      </c>
      <c r="AP22" s="7" cm="1">
        <f t="array" ref="AP22">SUM(OfficeForms.Table[[#This Row],[Función Táctica. Desarrollar e implementar una metodología estándar de gestión de proyectos.]:[Función Táctica.  Gestionar la base de datos de riesgos ]]/5)</f>
        <v>3</v>
      </c>
      <c r="AQ22" s="1">
        <v>3</v>
      </c>
      <c r="AR22" s="1">
        <v>3</v>
      </c>
      <c r="AS22" s="1">
        <v>3</v>
      </c>
      <c r="AT22" s="1">
        <v>3</v>
      </c>
      <c r="AU22" s="1">
        <v>3</v>
      </c>
      <c r="AV22" s="7" cm="1">
        <f t="array" ref="AV22">SUM(OfficeForms.Table[[#This Row],[Función Operativa. Informar sobre el estado del proyecto/programa a la alta dirección.]:[Función Operativa. Gestionar documentación  proyecto y positorio de gestión del conocimiento.]]/5)</f>
        <v>3</v>
      </c>
      <c r="BU22"/>
    </row>
    <row r="23" spans="1:73">
      <c r="A23" s="13">
        <v>21</v>
      </c>
      <c r="B23" s="1" t="s">
        <v>74</v>
      </c>
      <c r="C23" s="1" t="s">
        <v>79</v>
      </c>
      <c r="D23" s="1" t="s">
        <v>2</v>
      </c>
      <c r="E23" s="1" t="s">
        <v>59</v>
      </c>
      <c r="F23" s="1" t="s">
        <v>3</v>
      </c>
      <c r="G23" s="1" t="s">
        <v>64</v>
      </c>
      <c r="H23">
        <v>4</v>
      </c>
      <c r="I23" s="5" t="s">
        <v>67</v>
      </c>
      <c r="J23" t="s">
        <v>7</v>
      </c>
      <c r="K23">
        <v>4</v>
      </c>
      <c r="L23">
        <v>4</v>
      </c>
      <c r="M23">
        <v>4</v>
      </c>
      <c r="N23">
        <v>4</v>
      </c>
      <c r="O23">
        <v>4</v>
      </c>
      <c r="P23">
        <v>4</v>
      </c>
      <c r="Q23">
        <v>4</v>
      </c>
      <c r="R23">
        <v>4</v>
      </c>
      <c r="S23">
        <v>4</v>
      </c>
      <c r="T23">
        <v>4</v>
      </c>
      <c r="U23">
        <v>4</v>
      </c>
      <c r="V23">
        <v>4</v>
      </c>
      <c r="W23" s="7" cm="1">
        <f t="array" ref="W23">SUM(OfficeForms.Table[[#This Row],[Gestión del alcance ]:[Gestión de compra ]]/9)</f>
        <v>4.0000000000000009</v>
      </c>
      <c r="X23" s="7">
        <v>4</v>
      </c>
      <c r="Y23" s="7">
        <v>4</v>
      </c>
      <c r="Z23" s="7">
        <v>4</v>
      </c>
      <c r="AA23" s="7">
        <v>4</v>
      </c>
      <c r="AB23" s="7">
        <v>4</v>
      </c>
      <c r="AC23" s="7" cm="1">
        <f t="array" ref="AC23">SUM(OfficeForms.Table[[#This Row],[Personas]:[Relaciones]]/5)</f>
        <v>4</v>
      </c>
      <c r="AD23">
        <v>4</v>
      </c>
      <c r="AE23">
        <v>4</v>
      </c>
      <c r="AF23">
        <v>4</v>
      </c>
      <c r="AG23">
        <v>4</v>
      </c>
      <c r="AH23">
        <v>4</v>
      </c>
      <c r="AJ23" cm="1">
        <f t="array" ref="AJ23">SUM(OfficeForms.Table[[#This Row],[Función Estratégica.Proporcionar asesoramiento a la alta dirección]:[Función Estratégica.Supervisar y controlar el desempeño de la propia PMO.]]/5)</f>
        <v>4</v>
      </c>
      <c r="AK23" s="1">
        <v>4</v>
      </c>
      <c r="AL23" s="1">
        <v>4</v>
      </c>
      <c r="AM23" s="1">
        <v>4</v>
      </c>
      <c r="AN23" s="1">
        <v>4</v>
      </c>
      <c r="AO23" s="1">
        <v>4</v>
      </c>
      <c r="AP23" s="7" cm="1">
        <f t="array" ref="AP23">SUM(OfficeForms.Table[[#This Row],[Función Táctica. Desarrollar e implementar una metodología estándar de gestión de proyectos.]:[Función Táctica.  Gestionar la base de datos de riesgos ]]/5)</f>
        <v>4</v>
      </c>
      <c r="AQ23" s="1">
        <v>4</v>
      </c>
      <c r="AR23" s="1">
        <v>4</v>
      </c>
      <c r="AS23" s="1">
        <v>4</v>
      </c>
      <c r="AT23" s="1">
        <v>4</v>
      </c>
      <c r="AU23" s="1">
        <v>4</v>
      </c>
      <c r="AV23" s="7" cm="1">
        <f t="array" ref="AV23">SUM(OfficeForms.Table[[#This Row],[Función Operativa. Informar sobre el estado del proyecto/programa a la alta dirección.]:[Función Operativa. Gestionar documentación  proyecto y positorio de gestión del conocimiento.]]/5)</f>
        <v>4</v>
      </c>
      <c r="BU23"/>
    </row>
    <row r="24" spans="1:73">
      <c r="A24" s="13">
        <v>22</v>
      </c>
      <c r="B24" s="1" t="s">
        <v>77</v>
      </c>
      <c r="C24" s="1" t="s">
        <v>82</v>
      </c>
      <c r="D24" s="1" t="s">
        <v>2</v>
      </c>
      <c r="E24" s="1" t="s">
        <v>58</v>
      </c>
      <c r="F24" s="1" t="s">
        <v>3</v>
      </c>
      <c r="G24" s="1" t="s">
        <v>65</v>
      </c>
      <c r="H24">
        <v>2</v>
      </c>
      <c r="I24" s="5" t="s">
        <v>25</v>
      </c>
      <c r="J24" t="s">
        <v>20</v>
      </c>
      <c r="K24">
        <v>1</v>
      </c>
      <c r="L24">
        <v>2</v>
      </c>
      <c r="M24">
        <v>2</v>
      </c>
      <c r="N24">
        <v>1</v>
      </c>
      <c r="O24">
        <v>1</v>
      </c>
      <c r="P24">
        <v>1</v>
      </c>
      <c r="Q24">
        <v>1</v>
      </c>
      <c r="R24">
        <v>1</v>
      </c>
      <c r="S24">
        <v>1</v>
      </c>
      <c r="T24">
        <v>1</v>
      </c>
      <c r="U24">
        <v>1</v>
      </c>
      <c r="V24">
        <v>1</v>
      </c>
      <c r="W24" s="7" cm="1">
        <f t="array" ref="W24">SUM(OfficeForms.Table[[#This Row],[Gestión del alcance ]:[Gestión de compra ]]/9)</f>
        <v>1.0000000000000002</v>
      </c>
      <c r="X24" s="7">
        <v>1</v>
      </c>
      <c r="Y24" s="7">
        <v>0</v>
      </c>
      <c r="Z24" s="7">
        <v>0</v>
      </c>
      <c r="AA24" s="7">
        <v>0</v>
      </c>
      <c r="AB24" s="7">
        <v>1</v>
      </c>
      <c r="AC24" s="7" cm="1">
        <f t="array" ref="AC24">SUM(OfficeForms.Table[[#This Row],[Personas]:[Relaciones]]/5)</f>
        <v>0.4</v>
      </c>
      <c r="AD24">
        <v>1</v>
      </c>
      <c r="AE24">
        <v>1</v>
      </c>
      <c r="AF24">
        <v>1</v>
      </c>
      <c r="AG24">
        <v>1</v>
      </c>
      <c r="AH24">
        <v>1</v>
      </c>
      <c r="AJ24" cm="1">
        <f t="array" ref="AJ24">SUM(OfficeForms.Table[[#This Row],[Función Estratégica.Proporcionar asesoramiento a la alta dirección]:[Función Estratégica.Supervisar y controlar el desempeño de la propia PMO.]]/5)</f>
        <v>1</v>
      </c>
      <c r="AK24" s="1">
        <v>2</v>
      </c>
      <c r="AL24" s="1">
        <v>2</v>
      </c>
      <c r="AM24" s="1">
        <v>2</v>
      </c>
      <c r="AN24" s="1">
        <v>2</v>
      </c>
      <c r="AO24" s="1">
        <v>2</v>
      </c>
      <c r="AP24" s="7" cm="1">
        <f t="array" ref="AP24">SUM(OfficeForms.Table[[#This Row],[Función Táctica. Desarrollar e implementar una metodología estándar de gestión de proyectos.]:[Función Táctica.  Gestionar la base de datos de riesgos ]]/5)</f>
        <v>2</v>
      </c>
      <c r="AQ24" s="1">
        <v>2</v>
      </c>
      <c r="AR24" s="1">
        <v>2</v>
      </c>
      <c r="AS24" s="1">
        <v>2</v>
      </c>
      <c r="AT24" s="1">
        <v>2</v>
      </c>
      <c r="AU24" s="1">
        <v>2</v>
      </c>
      <c r="AV24" s="7" cm="1">
        <f t="array" ref="AV24">SUM(OfficeForms.Table[[#This Row],[Función Operativa. Informar sobre el estado del proyecto/programa a la alta dirección.]:[Función Operativa. Gestionar documentación  proyecto y positorio de gestión del conocimiento.]]/5)</f>
        <v>2</v>
      </c>
      <c r="BU24"/>
    </row>
    <row r="25" spans="1:73">
      <c r="A25" s="13">
        <v>23</v>
      </c>
      <c r="B25" s="1" t="s">
        <v>75</v>
      </c>
      <c r="C25" s="1" t="s">
        <v>80</v>
      </c>
      <c r="D25" s="1" t="s">
        <v>84</v>
      </c>
      <c r="E25" s="1" t="s">
        <v>56</v>
      </c>
      <c r="F25" s="1" t="s">
        <v>62</v>
      </c>
      <c r="G25" s="1" t="s">
        <v>65</v>
      </c>
      <c r="H25">
        <v>1</v>
      </c>
      <c r="I25" s="5" t="s">
        <v>69</v>
      </c>
      <c r="J25" t="s">
        <v>7</v>
      </c>
      <c r="K25">
        <v>2</v>
      </c>
      <c r="L25">
        <v>2</v>
      </c>
      <c r="M25">
        <v>2</v>
      </c>
      <c r="N25">
        <v>1</v>
      </c>
      <c r="O25">
        <v>1</v>
      </c>
      <c r="P25">
        <v>1</v>
      </c>
      <c r="Q25">
        <v>1</v>
      </c>
      <c r="R25">
        <v>1</v>
      </c>
      <c r="S25">
        <v>2</v>
      </c>
      <c r="T25">
        <v>2</v>
      </c>
      <c r="U25">
        <v>1</v>
      </c>
      <c r="V25">
        <v>2</v>
      </c>
      <c r="W25" s="7" cm="1">
        <f t="array" ref="W25">SUM(OfficeForms.Table[[#This Row],[Gestión del alcance ]:[Gestión de compra ]]/9)</f>
        <v>1.3333333333333335</v>
      </c>
      <c r="X25" s="7">
        <v>0</v>
      </c>
      <c r="Y25" s="7">
        <v>1</v>
      </c>
      <c r="Z25" s="7">
        <v>1</v>
      </c>
      <c r="AA25" s="7">
        <v>1</v>
      </c>
      <c r="AB25" s="7">
        <v>0</v>
      </c>
      <c r="AC25" s="7" cm="1">
        <f t="array" ref="AC25">SUM(OfficeForms.Table[[#This Row],[Personas]:[Relaciones]]/5)</f>
        <v>0.60000000000000009</v>
      </c>
      <c r="AD25">
        <v>1</v>
      </c>
      <c r="AE25">
        <v>2</v>
      </c>
      <c r="AF25">
        <v>1</v>
      </c>
      <c r="AG25">
        <v>1</v>
      </c>
      <c r="AH25">
        <v>1</v>
      </c>
      <c r="AJ25" cm="1">
        <f t="array" ref="AJ25">SUM(OfficeForms.Table[[#This Row],[Función Estratégica.Proporcionar asesoramiento a la alta dirección]:[Función Estratégica.Supervisar y controlar el desempeño de la propia PMO.]]/5)</f>
        <v>1.2</v>
      </c>
      <c r="AK25" s="1">
        <v>1</v>
      </c>
      <c r="AL25" s="1">
        <v>1</v>
      </c>
      <c r="AM25" s="1">
        <v>2</v>
      </c>
      <c r="AN25" s="1">
        <v>1</v>
      </c>
      <c r="AO25" s="1">
        <v>1</v>
      </c>
      <c r="AP25" s="7" cm="1">
        <f t="array" ref="AP25">SUM(OfficeForms.Table[[#This Row],[Función Táctica. Desarrollar e implementar una metodología estándar de gestión de proyectos.]:[Función Táctica.  Gestionar la base de datos de riesgos ]]/5)</f>
        <v>1.2</v>
      </c>
      <c r="AQ25" s="1">
        <v>2</v>
      </c>
      <c r="AR25" s="1">
        <v>1</v>
      </c>
      <c r="AS25" s="1">
        <v>1</v>
      </c>
      <c r="AT25" s="1">
        <v>3</v>
      </c>
      <c r="AU25" s="1">
        <v>1</v>
      </c>
      <c r="AV25" s="7" cm="1">
        <f t="array" ref="AV25">SUM(OfficeForms.Table[[#This Row],[Función Operativa. Informar sobre el estado del proyecto/programa a la alta dirección.]:[Función Operativa. Gestionar documentación  proyecto y positorio de gestión del conocimiento.]]/5)</f>
        <v>1.5999999999999999</v>
      </c>
      <c r="BU25"/>
    </row>
    <row r="26" spans="1:73">
      <c r="A26" s="13">
        <v>24</v>
      </c>
      <c r="B26" s="1" t="s">
        <v>75</v>
      </c>
      <c r="C26" s="1" t="s">
        <v>82</v>
      </c>
      <c r="D26" s="1" t="s">
        <v>2</v>
      </c>
      <c r="E26" s="1" t="s">
        <v>56</v>
      </c>
      <c r="F26" s="1" t="s">
        <v>3</v>
      </c>
      <c r="G26" s="1" t="s">
        <v>65</v>
      </c>
      <c r="H26">
        <v>2</v>
      </c>
      <c r="I26" s="5" t="s">
        <v>25</v>
      </c>
      <c r="J26" t="s">
        <v>7</v>
      </c>
      <c r="K26">
        <v>3</v>
      </c>
      <c r="L26">
        <v>3</v>
      </c>
      <c r="M26">
        <v>4</v>
      </c>
      <c r="N26">
        <v>2</v>
      </c>
      <c r="O26">
        <v>2</v>
      </c>
      <c r="P26">
        <v>3</v>
      </c>
      <c r="Q26">
        <v>3</v>
      </c>
      <c r="R26">
        <v>2</v>
      </c>
      <c r="S26">
        <v>3</v>
      </c>
      <c r="T26">
        <v>4</v>
      </c>
      <c r="U26">
        <v>2</v>
      </c>
      <c r="V26">
        <v>4</v>
      </c>
      <c r="W26" s="7" cm="1">
        <f t="array" ref="W26">SUM(OfficeForms.Table[[#This Row],[Gestión del alcance ]:[Gestión de compra ]]/9)</f>
        <v>2.7777777777777777</v>
      </c>
      <c r="X26" s="7">
        <v>2</v>
      </c>
      <c r="Y26" s="7">
        <v>2</v>
      </c>
      <c r="Z26" s="7">
        <v>2</v>
      </c>
      <c r="AA26" s="7">
        <v>2</v>
      </c>
      <c r="AB26" s="7">
        <v>2</v>
      </c>
      <c r="AC26" s="7" cm="1">
        <f t="array" ref="AC26">SUM(OfficeForms.Table[[#This Row],[Personas]:[Relaciones]]/5)</f>
        <v>2</v>
      </c>
      <c r="AD26">
        <v>4</v>
      </c>
      <c r="AE26">
        <v>4</v>
      </c>
      <c r="AF26">
        <v>3</v>
      </c>
      <c r="AG26">
        <v>3</v>
      </c>
      <c r="AH26">
        <v>3</v>
      </c>
      <c r="AJ26" cm="1">
        <f t="array" ref="AJ26">SUM(OfficeForms.Table[[#This Row],[Función Estratégica.Proporcionar asesoramiento a la alta dirección]:[Función Estratégica.Supervisar y controlar el desempeño de la propia PMO.]]/5)</f>
        <v>3.4000000000000004</v>
      </c>
      <c r="AK26" s="1">
        <v>3</v>
      </c>
      <c r="AL26" s="1">
        <v>2</v>
      </c>
      <c r="AM26" s="1">
        <v>2</v>
      </c>
      <c r="AN26" s="1">
        <v>2</v>
      </c>
      <c r="AO26" s="1">
        <v>2</v>
      </c>
      <c r="AP26" s="7" cm="1">
        <f t="array" ref="AP26">SUM(OfficeForms.Table[[#This Row],[Función Táctica. Desarrollar e implementar una metodología estándar de gestión de proyectos.]:[Función Táctica.  Gestionar la base de datos de riesgos ]]/5)</f>
        <v>2.1999999999999997</v>
      </c>
      <c r="AQ26" s="1">
        <v>4</v>
      </c>
      <c r="AR26" s="1">
        <v>2</v>
      </c>
      <c r="AS26" s="1">
        <v>2</v>
      </c>
      <c r="AT26" s="1">
        <v>4</v>
      </c>
      <c r="AU26" s="1">
        <v>2</v>
      </c>
      <c r="AV26" s="7" cm="1">
        <f t="array" ref="AV26">SUM(OfficeForms.Table[[#This Row],[Función Operativa. Informar sobre el estado del proyecto/programa a la alta dirección.]:[Función Operativa. Gestionar documentación  proyecto y positorio de gestión del conocimiento.]]/5)</f>
        <v>2.8000000000000003</v>
      </c>
      <c r="BU26"/>
    </row>
    <row r="27" spans="1:73">
      <c r="A27" s="13">
        <v>25</v>
      </c>
      <c r="B27" s="1" t="s">
        <v>74</v>
      </c>
      <c r="C27" s="1" t="s">
        <v>80</v>
      </c>
      <c r="D27" s="1" t="s">
        <v>2</v>
      </c>
      <c r="E27" s="1" t="s">
        <v>56</v>
      </c>
      <c r="F27" s="1" t="s">
        <v>62</v>
      </c>
      <c r="G27" s="1" t="s">
        <v>65</v>
      </c>
      <c r="H27">
        <v>3</v>
      </c>
      <c r="I27" s="5" t="s">
        <v>67</v>
      </c>
      <c r="J27" t="s">
        <v>9</v>
      </c>
      <c r="K27">
        <v>3</v>
      </c>
      <c r="L27">
        <v>3</v>
      </c>
      <c r="M27">
        <v>4</v>
      </c>
      <c r="N27">
        <v>2</v>
      </c>
      <c r="O27">
        <v>3</v>
      </c>
      <c r="P27">
        <v>3</v>
      </c>
      <c r="Q27">
        <v>2</v>
      </c>
      <c r="R27">
        <v>2</v>
      </c>
      <c r="S27">
        <v>2</v>
      </c>
      <c r="T27">
        <v>3</v>
      </c>
      <c r="U27">
        <v>3</v>
      </c>
      <c r="V27">
        <v>3</v>
      </c>
      <c r="W27" s="7" cm="1">
        <f t="array" ref="W27">SUM(OfficeForms.Table[[#This Row],[Gestión del alcance ]:[Gestión de compra ]]/9)</f>
        <v>2.5555555555555558</v>
      </c>
      <c r="X27" s="7">
        <v>2</v>
      </c>
      <c r="Y27" s="7">
        <v>2</v>
      </c>
      <c r="Z27" s="7">
        <v>1</v>
      </c>
      <c r="AA27" s="7">
        <v>1</v>
      </c>
      <c r="AB27" s="7">
        <v>2</v>
      </c>
      <c r="AC27" s="7" cm="1">
        <f t="array" ref="AC27">SUM(OfficeForms.Table[[#This Row],[Personas]:[Relaciones]]/5)</f>
        <v>1.6</v>
      </c>
      <c r="AD27">
        <v>4</v>
      </c>
      <c r="AE27">
        <v>4</v>
      </c>
      <c r="AF27">
        <v>3</v>
      </c>
      <c r="AG27">
        <v>3</v>
      </c>
      <c r="AH27">
        <v>3</v>
      </c>
      <c r="AJ27" cm="1">
        <f t="array" ref="AJ27">SUM(OfficeForms.Table[[#This Row],[Función Estratégica.Proporcionar asesoramiento a la alta dirección]:[Función Estratégica.Supervisar y controlar el desempeño de la propia PMO.]]/5)</f>
        <v>3.4000000000000004</v>
      </c>
      <c r="AK27" s="1">
        <v>4</v>
      </c>
      <c r="AL27" s="1">
        <v>4</v>
      </c>
      <c r="AM27" s="1">
        <v>3</v>
      </c>
      <c r="AN27" s="1">
        <v>3</v>
      </c>
      <c r="AO27" s="1">
        <v>3</v>
      </c>
      <c r="AP27" s="7" cm="1">
        <f t="array" ref="AP27">SUM(OfficeForms.Table[[#This Row],[Función Táctica. Desarrollar e implementar una metodología estándar de gestión de proyectos.]:[Función Táctica.  Gestionar la base de datos de riesgos ]]/5)</f>
        <v>3.4000000000000004</v>
      </c>
      <c r="AQ27" s="1">
        <v>4</v>
      </c>
      <c r="AR27" s="1">
        <v>3</v>
      </c>
      <c r="AS27" s="1">
        <v>3</v>
      </c>
      <c r="AT27" s="1">
        <v>4</v>
      </c>
      <c r="AU27" s="1">
        <v>2</v>
      </c>
      <c r="AV27" s="7" cm="1">
        <f t="array" ref="AV27">SUM(OfficeForms.Table[[#This Row],[Función Operativa. Informar sobre el estado del proyecto/programa a la alta dirección.]:[Función Operativa. Gestionar documentación  proyecto y positorio de gestión del conocimiento.]]/5)</f>
        <v>3.1999999999999997</v>
      </c>
      <c r="BU27"/>
    </row>
    <row r="28" spans="1:73">
      <c r="A28" s="13">
        <v>26</v>
      </c>
      <c r="B28" s="1" t="s">
        <v>74</v>
      </c>
      <c r="C28" s="1" t="s">
        <v>80</v>
      </c>
      <c r="D28" s="1" t="s">
        <v>2</v>
      </c>
      <c r="E28" s="1" t="s">
        <v>56</v>
      </c>
      <c r="F28" s="1" t="s">
        <v>62</v>
      </c>
      <c r="G28" s="1" t="s">
        <v>64</v>
      </c>
      <c r="H28">
        <v>2</v>
      </c>
      <c r="I28" s="5" t="s">
        <v>25</v>
      </c>
      <c r="J28" t="s">
        <v>9</v>
      </c>
      <c r="K28">
        <v>2</v>
      </c>
      <c r="L28">
        <v>2</v>
      </c>
      <c r="M28">
        <v>2</v>
      </c>
      <c r="N28">
        <v>3</v>
      </c>
      <c r="O28">
        <v>3</v>
      </c>
      <c r="P28">
        <v>3</v>
      </c>
      <c r="Q28">
        <v>3</v>
      </c>
      <c r="R28">
        <v>3</v>
      </c>
      <c r="S28">
        <v>4</v>
      </c>
      <c r="T28">
        <v>4</v>
      </c>
      <c r="U28">
        <v>4</v>
      </c>
      <c r="V28">
        <v>4</v>
      </c>
      <c r="W28" s="7" cm="1">
        <f t="array" ref="W28">SUM(OfficeForms.Table[[#This Row],[Gestión del alcance ]:[Gestión de compra ]]/9)</f>
        <v>3.4444444444444446</v>
      </c>
      <c r="X28" s="7">
        <v>2</v>
      </c>
      <c r="Y28" s="7">
        <v>2</v>
      </c>
      <c r="Z28" s="7">
        <v>2</v>
      </c>
      <c r="AA28" s="7">
        <v>4</v>
      </c>
      <c r="AB28" s="7">
        <v>4</v>
      </c>
      <c r="AC28" s="7" cm="1">
        <f t="array" ref="AC28">SUM(OfficeForms.Table[[#This Row],[Personas]:[Relaciones]]/5)</f>
        <v>2.8</v>
      </c>
      <c r="AD28">
        <v>3</v>
      </c>
      <c r="AE28">
        <v>3</v>
      </c>
      <c r="AF28">
        <v>3</v>
      </c>
      <c r="AG28">
        <v>3</v>
      </c>
      <c r="AH28">
        <v>3</v>
      </c>
      <c r="AJ28" cm="1">
        <f t="array" ref="AJ28">SUM(OfficeForms.Table[[#This Row],[Función Estratégica.Proporcionar asesoramiento a la alta dirección]:[Función Estratégica.Supervisar y controlar el desempeño de la propia PMO.]]/5)</f>
        <v>3</v>
      </c>
      <c r="AK28" s="1">
        <v>3</v>
      </c>
      <c r="AL28" s="1">
        <v>3</v>
      </c>
      <c r="AM28" s="1">
        <v>3</v>
      </c>
      <c r="AN28" s="1">
        <v>3</v>
      </c>
      <c r="AO28" s="1">
        <v>3</v>
      </c>
      <c r="AP28" s="7" cm="1">
        <f t="array" ref="AP28">SUM(OfficeForms.Table[[#This Row],[Función Táctica. Desarrollar e implementar una metodología estándar de gestión de proyectos.]:[Función Táctica.  Gestionar la base de datos de riesgos ]]/5)</f>
        <v>3</v>
      </c>
      <c r="AQ28" s="1">
        <v>3</v>
      </c>
      <c r="AR28" s="1">
        <v>3</v>
      </c>
      <c r="AS28" s="1">
        <v>3</v>
      </c>
      <c r="AT28" s="1">
        <v>3</v>
      </c>
      <c r="AU28" s="1">
        <v>3</v>
      </c>
      <c r="AV28" s="7" cm="1">
        <f t="array" ref="AV28">SUM(OfficeForms.Table[[#This Row],[Función Operativa. Informar sobre el estado del proyecto/programa a la alta dirección.]:[Función Operativa. Gestionar documentación  proyecto y positorio de gestión del conocimiento.]]/5)</f>
        <v>3</v>
      </c>
      <c r="BU28"/>
    </row>
    <row r="29" spans="1:73">
      <c r="A29" s="13">
        <v>27</v>
      </c>
      <c r="B29" s="1" t="s">
        <v>74</v>
      </c>
      <c r="C29" s="1" t="s">
        <v>79</v>
      </c>
      <c r="D29" s="1" t="s">
        <v>2</v>
      </c>
      <c r="E29" s="1" t="s">
        <v>59</v>
      </c>
      <c r="F29" s="1" t="s">
        <v>61</v>
      </c>
      <c r="G29" s="1" t="s">
        <v>66</v>
      </c>
      <c r="H29">
        <v>3</v>
      </c>
      <c r="I29" s="5" t="s">
        <v>68</v>
      </c>
      <c r="J29" t="s">
        <v>7</v>
      </c>
      <c r="K29">
        <v>4</v>
      </c>
      <c r="L29">
        <v>5</v>
      </c>
      <c r="M29">
        <v>4</v>
      </c>
      <c r="N29">
        <v>4</v>
      </c>
      <c r="O29">
        <v>5</v>
      </c>
      <c r="P29">
        <v>5</v>
      </c>
      <c r="Q29">
        <v>4</v>
      </c>
      <c r="R29">
        <v>5</v>
      </c>
      <c r="S29">
        <v>4</v>
      </c>
      <c r="T29">
        <v>5</v>
      </c>
      <c r="U29">
        <v>4</v>
      </c>
      <c r="V29">
        <v>5</v>
      </c>
      <c r="W29" s="7" cm="1">
        <f t="array" ref="W29">SUM(OfficeForms.Table[[#This Row],[Gestión del alcance ]:[Gestión de compra ]]/9)</f>
        <v>4.5555555555555554</v>
      </c>
      <c r="X29" s="7">
        <v>5</v>
      </c>
      <c r="Y29" s="7">
        <v>4</v>
      </c>
      <c r="Z29" s="7">
        <v>5</v>
      </c>
      <c r="AA29" s="7">
        <v>4</v>
      </c>
      <c r="AB29" s="7">
        <v>5</v>
      </c>
      <c r="AC29" s="7" cm="1">
        <f t="array" ref="AC29">SUM(OfficeForms.Table[[#This Row],[Personas]:[Relaciones]]/5)</f>
        <v>4.5999999999999996</v>
      </c>
      <c r="AD29">
        <v>4</v>
      </c>
      <c r="AE29">
        <v>5</v>
      </c>
      <c r="AF29">
        <v>4</v>
      </c>
      <c r="AG29">
        <v>5</v>
      </c>
      <c r="AH29">
        <v>4</v>
      </c>
      <c r="AJ29" cm="1">
        <f t="array" ref="AJ29">SUM(OfficeForms.Table[[#This Row],[Función Estratégica.Proporcionar asesoramiento a la alta dirección]:[Función Estratégica.Supervisar y controlar el desempeño de la propia PMO.]]/5)</f>
        <v>4.4000000000000004</v>
      </c>
      <c r="AK29" s="1">
        <v>5</v>
      </c>
      <c r="AL29" s="1">
        <v>4</v>
      </c>
      <c r="AM29" s="1">
        <v>5</v>
      </c>
      <c r="AN29" s="1">
        <v>4</v>
      </c>
      <c r="AO29" s="1">
        <v>5</v>
      </c>
      <c r="AP29" s="7" cm="1">
        <f t="array" ref="AP29">SUM(OfficeForms.Table[[#This Row],[Función Táctica. Desarrollar e implementar una metodología estándar de gestión de proyectos.]:[Función Táctica.  Gestionar la base de datos de riesgos ]]/5)</f>
        <v>4.5999999999999996</v>
      </c>
      <c r="AQ29" s="1">
        <v>5</v>
      </c>
      <c r="AR29" s="1">
        <v>4</v>
      </c>
      <c r="AS29" s="1">
        <v>5</v>
      </c>
      <c r="AT29" s="1">
        <v>4</v>
      </c>
      <c r="AU29" s="1">
        <v>5</v>
      </c>
      <c r="AV29" s="7" cm="1">
        <f t="array" ref="AV29">SUM(OfficeForms.Table[[#This Row],[Función Operativa. Informar sobre el estado del proyecto/programa a la alta dirección.]:[Función Operativa. Gestionar documentación  proyecto y positorio de gestión del conocimiento.]]/5)</f>
        <v>4.5999999999999996</v>
      </c>
      <c r="BU29"/>
    </row>
    <row r="30" spans="1:73">
      <c r="A30" s="13">
        <v>28</v>
      </c>
      <c r="B30" s="1" t="s">
        <v>74</v>
      </c>
      <c r="C30" s="1" t="s">
        <v>81</v>
      </c>
      <c r="D30" s="1" t="s">
        <v>84</v>
      </c>
      <c r="E30" s="1" t="s">
        <v>57</v>
      </c>
      <c r="F30" s="1" t="s">
        <v>3</v>
      </c>
      <c r="G30" s="1" t="s">
        <v>64</v>
      </c>
      <c r="H30">
        <v>2</v>
      </c>
      <c r="I30" s="5" t="s">
        <v>25</v>
      </c>
      <c r="J30" t="s">
        <v>7</v>
      </c>
      <c r="K30">
        <v>2</v>
      </c>
      <c r="L30">
        <v>3</v>
      </c>
      <c r="M30">
        <v>2</v>
      </c>
      <c r="N30">
        <v>2</v>
      </c>
      <c r="O30">
        <v>2</v>
      </c>
      <c r="P30">
        <v>2</v>
      </c>
      <c r="Q30">
        <v>2</v>
      </c>
      <c r="R30">
        <v>2</v>
      </c>
      <c r="S30">
        <v>2</v>
      </c>
      <c r="T30">
        <v>2</v>
      </c>
      <c r="U30">
        <v>2</v>
      </c>
      <c r="V30">
        <v>2</v>
      </c>
      <c r="W30" s="7" cm="1">
        <f t="array" ref="W30">SUM(OfficeForms.Table[[#This Row],[Gestión del alcance ]:[Gestión de compra ]]/9)</f>
        <v>2.0000000000000004</v>
      </c>
      <c r="X30" s="7">
        <v>2</v>
      </c>
      <c r="Y30" s="7">
        <v>1</v>
      </c>
      <c r="Z30" s="7">
        <v>2</v>
      </c>
      <c r="AA30" s="7">
        <v>2</v>
      </c>
      <c r="AB30" s="7">
        <v>2</v>
      </c>
      <c r="AC30" s="7" cm="1">
        <f t="array" ref="AC30">SUM(OfficeForms.Table[[#This Row],[Personas]:[Relaciones]]/5)</f>
        <v>1.7999999999999998</v>
      </c>
      <c r="AD30">
        <v>2</v>
      </c>
      <c r="AE30">
        <v>4</v>
      </c>
      <c r="AF30">
        <v>2</v>
      </c>
      <c r="AG30">
        <v>2</v>
      </c>
      <c r="AH30">
        <v>2</v>
      </c>
      <c r="AJ30" cm="1">
        <f t="array" ref="AJ30">SUM(OfficeForms.Table[[#This Row],[Función Estratégica.Proporcionar asesoramiento a la alta dirección]:[Función Estratégica.Supervisar y controlar el desempeño de la propia PMO.]]/5)</f>
        <v>2.4</v>
      </c>
      <c r="AK30" s="1">
        <v>4</v>
      </c>
      <c r="AL30" s="1">
        <v>2</v>
      </c>
      <c r="AM30" s="1">
        <v>2</v>
      </c>
      <c r="AN30" s="1">
        <v>2</v>
      </c>
      <c r="AO30" s="1">
        <v>2</v>
      </c>
      <c r="AP30" s="7" cm="1">
        <f t="array" ref="AP30">SUM(OfficeForms.Table[[#This Row],[Función Táctica. Desarrollar e implementar una metodología estándar de gestión de proyectos.]:[Función Táctica.  Gestionar la base de datos de riesgos ]]/5)</f>
        <v>2.4</v>
      </c>
      <c r="AQ30" s="1">
        <v>2</v>
      </c>
      <c r="AR30" s="1">
        <v>2</v>
      </c>
      <c r="AS30" s="1">
        <v>2</v>
      </c>
      <c r="AT30" s="1">
        <v>4</v>
      </c>
      <c r="AU30" s="1">
        <v>2</v>
      </c>
      <c r="AV30" s="7" cm="1">
        <f t="array" ref="AV30">SUM(OfficeForms.Table[[#This Row],[Función Operativa. Informar sobre el estado del proyecto/programa a la alta dirección.]:[Función Operativa. Gestionar documentación  proyecto y positorio de gestión del conocimiento.]]/5)</f>
        <v>2.4</v>
      </c>
      <c r="BU30"/>
    </row>
    <row r="31" spans="1:73">
      <c r="A31" s="13">
        <v>29</v>
      </c>
      <c r="B31" s="1" t="s">
        <v>74</v>
      </c>
      <c r="C31" s="1" t="s">
        <v>82</v>
      </c>
      <c r="D31" s="1" t="s">
        <v>2</v>
      </c>
      <c r="E31" s="1" t="s">
        <v>58</v>
      </c>
      <c r="F31" s="1" t="s">
        <v>3</v>
      </c>
      <c r="G31" s="1" t="s">
        <v>65</v>
      </c>
      <c r="H31">
        <v>2</v>
      </c>
      <c r="I31" s="5" t="s">
        <v>25</v>
      </c>
      <c r="J31" t="s">
        <v>4</v>
      </c>
      <c r="K31">
        <v>2</v>
      </c>
      <c r="L31">
        <v>2</v>
      </c>
      <c r="M31">
        <v>2</v>
      </c>
      <c r="N31">
        <v>1</v>
      </c>
      <c r="O31">
        <v>1</v>
      </c>
      <c r="P31">
        <v>1</v>
      </c>
      <c r="Q31">
        <v>1</v>
      </c>
      <c r="R31">
        <v>1</v>
      </c>
      <c r="S31">
        <v>1</v>
      </c>
      <c r="T31">
        <v>1</v>
      </c>
      <c r="U31">
        <v>1</v>
      </c>
      <c r="V31">
        <v>1</v>
      </c>
      <c r="W31" s="7" cm="1">
        <f t="array" ref="W31">SUM(OfficeForms.Table[[#This Row],[Gestión del alcance ]:[Gestión de compra ]]/9)</f>
        <v>1.0000000000000002</v>
      </c>
      <c r="X31" s="7">
        <v>1</v>
      </c>
      <c r="Y31" s="7">
        <v>0</v>
      </c>
      <c r="Z31" s="7">
        <v>0</v>
      </c>
      <c r="AA31" s="7">
        <v>0</v>
      </c>
      <c r="AB31" s="7">
        <v>0</v>
      </c>
      <c r="AC31" s="7" cm="1">
        <f t="array" ref="AC31">SUM(OfficeForms.Table[[#This Row],[Personas]:[Relaciones]]/5)</f>
        <v>0.2</v>
      </c>
      <c r="AD31">
        <v>1</v>
      </c>
      <c r="AE31">
        <v>1</v>
      </c>
      <c r="AF31">
        <v>1</v>
      </c>
      <c r="AG31">
        <v>1</v>
      </c>
      <c r="AH31">
        <v>1</v>
      </c>
      <c r="AJ31" cm="1">
        <f t="array" ref="AJ31">SUM(OfficeForms.Table[[#This Row],[Función Estratégica.Proporcionar asesoramiento a la alta dirección]:[Función Estratégica.Supervisar y controlar el desempeño de la propia PMO.]]/5)</f>
        <v>1</v>
      </c>
      <c r="AK31" s="1">
        <v>2</v>
      </c>
      <c r="AL31" s="1">
        <v>2</v>
      </c>
      <c r="AM31" s="1">
        <v>1</v>
      </c>
      <c r="AN31" s="1">
        <v>2</v>
      </c>
      <c r="AO31" s="1">
        <v>1</v>
      </c>
      <c r="AP31" s="7" cm="1">
        <f t="array" ref="AP31">SUM(OfficeForms.Table[[#This Row],[Función Táctica. Desarrollar e implementar una metodología estándar de gestión de proyectos.]:[Función Táctica.  Gestionar la base de datos de riesgos ]]/5)</f>
        <v>1.5999999999999999</v>
      </c>
      <c r="AQ31" s="1">
        <v>1</v>
      </c>
      <c r="AR31" s="1">
        <v>2</v>
      </c>
      <c r="AS31" s="1">
        <v>1</v>
      </c>
      <c r="AT31" s="1">
        <v>2</v>
      </c>
      <c r="AU31" s="1">
        <v>1</v>
      </c>
      <c r="AV31" s="7" cm="1">
        <f t="array" ref="AV31">SUM(OfficeForms.Table[[#This Row],[Función Operativa. Informar sobre el estado del proyecto/programa a la alta dirección.]:[Función Operativa. Gestionar documentación  proyecto y positorio de gestión del conocimiento.]]/5)</f>
        <v>1.4000000000000001</v>
      </c>
      <c r="BU31"/>
    </row>
    <row r="32" spans="1:73">
      <c r="A32" s="13">
        <v>30</v>
      </c>
      <c r="B32" s="1" t="s">
        <v>76</v>
      </c>
      <c r="C32" s="1" t="s">
        <v>79</v>
      </c>
      <c r="D32" s="1" t="s">
        <v>2</v>
      </c>
      <c r="E32" s="1" t="s">
        <v>59</v>
      </c>
      <c r="F32" s="1" t="s">
        <v>3</v>
      </c>
      <c r="G32" s="1" t="s">
        <v>65</v>
      </c>
      <c r="H32">
        <v>3</v>
      </c>
      <c r="I32" s="5" t="s">
        <v>25</v>
      </c>
      <c r="J32" t="s">
        <v>7</v>
      </c>
      <c r="K32">
        <v>3</v>
      </c>
      <c r="L32">
        <v>3</v>
      </c>
      <c r="M32">
        <v>3</v>
      </c>
      <c r="N32">
        <v>3</v>
      </c>
      <c r="O32">
        <v>3</v>
      </c>
      <c r="P32">
        <v>3</v>
      </c>
      <c r="Q32">
        <v>3</v>
      </c>
      <c r="R32">
        <v>2</v>
      </c>
      <c r="S32">
        <v>3</v>
      </c>
      <c r="T32">
        <v>3</v>
      </c>
      <c r="U32">
        <v>2</v>
      </c>
      <c r="V32">
        <v>3</v>
      </c>
      <c r="W32" s="7" cm="1">
        <f t="array" ref="W32">SUM(OfficeForms.Table[[#This Row],[Gestión del alcance ]:[Gestión de compra ]]/9)</f>
        <v>2.7777777777777777</v>
      </c>
      <c r="X32" s="7">
        <v>2</v>
      </c>
      <c r="Y32" s="7">
        <v>2</v>
      </c>
      <c r="Z32" s="7">
        <v>2</v>
      </c>
      <c r="AA32" s="7">
        <v>2</v>
      </c>
      <c r="AB32" s="7">
        <v>2</v>
      </c>
      <c r="AC32" s="7" cm="1">
        <f t="array" ref="AC32">SUM(OfficeForms.Table[[#This Row],[Personas]:[Relaciones]]/5)</f>
        <v>2</v>
      </c>
      <c r="AD32">
        <v>3</v>
      </c>
      <c r="AE32">
        <v>3</v>
      </c>
      <c r="AF32">
        <v>3</v>
      </c>
      <c r="AG32">
        <v>3</v>
      </c>
      <c r="AH32">
        <v>3</v>
      </c>
      <c r="AJ32" cm="1">
        <f t="array" ref="AJ32">SUM(OfficeForms.Table[[#This Row],[Función Estratégica.Proporcionar asesoramiento a la alta dirección]:[Función Estratégica.Supervisar y controlar el desempeño de la propia PMO.]]/5)</f>
        <v>3</v>
      </c>
      <c r="AK32" s="1">
        <v>3</v>
      </c>
      <c r="AL32" s="1">
        <v>3</v>
      </c>
      <c r="AM32" s="1">
        <v>3</v>
      </c>
      <c r="AN32" s="1">
        <v>3</v>
      </c>
      <c r="AO32" s="1">
        <v>3</v>
      </c>
      <c r="AP32" s="7" cm="1">
        <f t="array" ref="AP32">SUM(OfficeForms.Table[[#This Row],[Función Táctica. Desarrollar e implementar una metodología estándar de gestión de proyectos.]:[Función Táctica.  Gestionar la base de datos de riesgos ]]/5)</f>
        <v>3</v>
      </c>
      <c r="AQ32" s="1">
        <v>3</v>
      </c>
      <c r="AR32" s="1">
        <v>3</v>
      </c>
      <c r="AS32" s="1">
        <v>3</v>
      </c>
      <c r="AT32" s="1">
        <v>3</v>
      </c>
      <c r="AU32" s="1">
        <v>3</v>
      </c>
      <c r="AV32" s="7" cm="1">
        <f t="array" ref="AV32">SUM(OfficeForms.Table[[#This Row],[Función Operativa. Informar sobre el estado del proyecto/programa a la alta dirección.]:[Función Operativa. Gestionar documentación  proyecto y positorio de gestión del conocimiento.]]/5)</f>
        <v>3</v>
      </c>
      <c r="BU32"/>
    </row>
    <row r="33" spans="1:73">
      <c r="A33" s="13">
        <v>31</v>
      </c>
      <c r="B33" s="1" t="s">
        <v>75</v>
      </c>
      <c r="C33" s="1" t="s">
        <v>79</v>
      </c>
      <c r="D33" s="1" t="s">
        <v>2</v>
      </c>
      <c r="E33" s="1" t="s">
        <v>56</v>
      </c>
      <c r="F33" s="1" t="s">
        <v>3</v>
      </c>
      <c r="G33" s="1" t="s">
        <v>65</v>
      </c>
      <c r="H33">
        <v>2</v>
      </c>
      <c r="I33" s="5" t="s">
        <v>25</v>
      </c>
      <c r="J33" t="s">
        <v>4</v>
      </c>
      <c r="K33">
        <v>4</v>
      </c>
      <c r="L33">
        <v>4</v>
      </c>
      <c r="M33">
        <v>4</v>
      </c>
      <c r="N33">
        <v>2</v>
      </c>
      <c r="O33">
        <v>1</v>
      </c>
      <c r="P33">
        <v>2</v>
      </c>
      <c r="Q33">
        <v>2</v>
      </c>
      <c r="R33">
        <v>2</v>
      </c>
      <c r="S33">
        <v>2</v>
      </c>
      <c r="T33">
        <v>3</v>
      </c>
      <c r="U33">
        <v>3</v>
      </c>
      <c r="V33">
        <v>2</v>
      </c>
      <c r="W33" s="7" cm="1">
        <f t="array" ref="W33">SUM(OfficeForms.Table[[#This Row],[Gestión del alcance ]:[Gestión de compra ]]/9)</f>
        <v>2.1111111111111112</v>
      </c>
      <c r="X33" s="7">
        <v>1</v>
      </c>
      <c r="Y33" s="7">
        <v>1</v>
      </c>
      <c r="Z33" s="7">
        <v>1</v>
      </c>
      <c r="AA33" s="7">
        <v>1</v>
      </c>
      <c r="AB33" s="7">
        <v>1</v>
      </c>
      <c r="AC33" s="7" cm="1">
        <f t="array" ref="AC33">SUM(OfficeForms.Table[[#This Row],[Personas]:[Relaciones]]/5)</f>
        <v>1</v>
      </c>
      <c r="AD33">
        <v>2</v>
      </c>
      <c r="AE33">
        <v>2</v>
      </c>
      <c r="AF33">
        <v>2</v>
      </c>
      <c r="AG33">
        <v>2</v>
      </c>
      <c r="AH33">
        <v>2</v>
      </c>
      <c r="AJ33" cm="1">
        <f t="array" ref="AJ33">SUM(OfficeForms.Table[[#This Row],[Función Estratégica.Proporcionar asesoramiento a la alta dirección]:[Función Estratégica.Supervisar y controlar el desempeño de la propia PMO.]]/5)</f>
        <v>2</v>
      </c>
      <c r="AK33" s="1">
        <v>4</v>
      </c>
      <c r="AL33" s="1">
        <v>4</v>
      </c>
      <c r="AM33" s="1">
        <v>4</v>
      </c>
      <c r="AN33" s="1">
        <v>4</v>
      </c>
      <c r="AO33" s="1">
        <v>4</v>
      </c>
      <c r="AP33" s="7" cm="1">
        <f t="array" ref="AP33">SUM(OfficeForms.Table[[#This Row],[Función Táctica. Desarrollar e implementar una metodología estándar de gestión de proyectos.]:[Función Táctica.  Gestionar la base de datos de riesgos ]]/5)</f>
        <v>4</v>
      </c>
      <c r="AQ33" s="1">
        <v>2</v>
      </c>
      <c r="AR33" s="1">
        <v>2</v>
      </c>
      <c r="AS33" s="1">
        <v>2</v>
      </c>
      <c r="AT33" s="1">
        <v>2</v>
      </c>
      <c r="AU33" s="1">
        <v>2</v>
      </c>
      <c r="AV33" s="7" cm="1">
        <f t="array" ref="AV33">SUM(OfficeForms.Table[[#This Row],[Función Operativa. Informar sobre el estado del proyecto/programa a la alta dirección.]:[Función Operativa. Gestionar documentación  proyecto y positorio de gestión del conocimiento.]]/5)</f>
        <v>2</v>
      </c>
      <c r="BU33"/>
    </row>
    <row r="34" spans="1:73">
      <c r="A34" s="13">
        <v>32</v>
      </c>
      <c r="B34" s="1" t="s">
        <v>74</v>
      </c>
      <c r="C34" s="1" t="s">
        <v>80</v>
      </c>
      <c r="D34" s="1" t="s">
        <v>2</v>
      </c>
      <c r="E34" s="1" t="s">
        <v>56</v>
      </c>
      <c r="F34" s="1" t="s">
        <v>3</v>
      </c>
      <c r="G34" s="1" t="s">
        <v>64</v>
      </c>
      <c r="H34">
        <v>3</v>
      </c>
      <c r="I34" s="5" t="s">
        <v>25</v>
      </c>
      <c r="J34" t="s">
        <v>11</v>
      </c>
      <c r="K34">
        <v>4</v>
      </c>
      <c r="L34">
        <v>4</v>
      </c>
      <c r="M34">
        <v>4</v>
      </c>
      <c r="N34">
        <v>3</v>
      </c>
      <c r="O34">
        <v>3</v>
      </c>
      <c r="P34">
        <v>3</v>
      </c>
      <c r="Q34">
        <v>4</v>
      </c>
      <c r="R34">
        <v>3</v>
      </c>
      <c r="S34">
        <v>3</v>
      </c>
      <c r="T34">
        <v>5</v>
      </c>
      <c r="U34">
        <v>3</v>
      </c>
      <c r="V34">
        <v>4</v>
      </c>
      <c r="W34" s="7" cm="1">
        <f t="array" ref="W34">SUM(OfficeForms.Table[[#This Row],[Gestión del alcance ]:[Gestión de compra ]]/9)</f>
        <v>3.4444444444444446</v>
      </c>
      <c r="X34" s="7">
        <v>3</v>
      </c>
      <c r="Y34" s="7">
        <v>3</v>
      </c>
      <c r="Z34" s="7">
        <v>3</v>
      </c>
      <c r="AA34" s="7">
        <v>3</v>
      </c>
      <c r="AB34" s="7">
        <v>3</v>
      </c>
      <c r="AC34" s="7" cm="1">
        <f t="array" ref="AC34">SUM(OfficeForms.Table[[#This Row],[Personas]:[Relaciones]]/5)</f>
        <v>3</v>
      </c>
      <c r="AD34">
        <v>4</v>
      </c>
      <c r="AE34">
        <v>4</v>
      </c>
      <c r="AF34">
        <v>4</v>
      </c>
      <c r="AG34">
        <v>4</v>
      </c>
      <c r="AH34">
        <v>4</v>
      </c>
      <c r="AJ34" cm="1">
        <f t="array" ref="AJ34">SUM(OfficeForms.Table[[#This Row],[Función Estratégica.Proporcionar asesoramiento a la alta dirección]:[Función Estratégica.Supervisar y controlar el desempeño de la propia PMO.]]/5)</f>
        <v>4</v>
      </c>
      <c r="AK34" s="1">
        <v>4</v>
      </c>
      <c r="AL34" s="1">
        <v>4</v>
      </c>
      <c r="AM34" s="1">
        <v>4</v>
      </c>
      <c r="AN34" s="1">
        <v>4</v>
      </c>
      <c r="AO34" s="1">
        <v>4</v>
      </c>
      <c r="AP34" s="7" cm="1">
        <f t="array" ref="AP34">SUM(OfficeForms.Table[[#This Row],[Función Táctica. Desarrollar e implementar una metodología estándar de gestión de proyectos.]:[Función Táctica.  Gestionar la base de datos de riesgos ]]/5)</f>
        <v>4</v>
      </c>
      <c r="AQ34" s="1">
        <v>4</v>
      </c>
      <c r="AR34" s="1">
        <v>4</v>
      </c>
      <c r="AS34" s="1">
        <v>4</v>
      </c>
      <c r="AT34" s="1">
        <v>4</v>
      </c>
      <c r="AU34" s="1">
        <v>4</v>
      </c>
      <c r="AV34" s="7" cm="1">
        <f t="array" ref="AV34">SUM(OfficeForms.Table[[#This Row],[Función Operativa. Informar sobre el estado del proyecto/programa a la alta dirección.]:[Función Operativa. Gestionar documentación  proyecto y positorio de gestión del conocimiento.]]/5)</f>
        <v>4</v>
      </c>
      <c r="BU34"/>
    </row>
    <row r="35" spans="1:73">
      <c r="A35" s="13">
        <v>33</v>
      </c>
      <c r="B35" s="1" t="s">
        <v>74</v>
      </c>
      <c r="C35" s="1" t="s">
        <v>81</v>
      </c>
      <c r="D35" s="1" t="s">
        <v>2</v>
      </c>
      <c r="E35" s="1" t="s">
        <v>57</v>
      </c>
      <c r="F35" s="1" t="s">
        <v>3</v>
      </c>
      <c r="G35" s="1" t="s">
        <v>64</v>
      </c>
      <c r="H35">
        <v>3</v>
      </c>
      <c r="I35" s="5" t="s">
        <v>68</v>
      </c>
      <c r="J35" t="s">
        <v>4</v>
      </c>
      <c r="K35">
        <v>3</v>
      </c>
      <c r="L35">
        <v>3</v>
      </c>
      <c r="M35">
        <v>3</v>
      </c>
      <c r="N35">
        <v>3</v>
      </c>
      <c r="O35">
        <v>3</v>
      </c>
      <c r="P35">
        <v>3</v>
      </c>
      <c r="Q35">
        <v>3</v>
      </c>
      <c r="R35">
        <v>3</v>
      </c>
      <c r="S35">
        <v>3</v>
      </c>
      <c r="T35">
        <v>3</v>
      </c>
      <c r="U35">
        <v>3</v>
      </c>
      <c r="V35">
        <v>3</v>
      </c>
      <c r="W35" s="7" cm="1">
        <f t="array" ref="W35">SUM(OfficeForms.Table[[#This Row],[Gestión del alcance ]:[Gestión de compra ]]/9)</f>
        <v>3</v>
      </c>
      <c r="X35" s="7">
        <v>3</v>
      </c>
      <c r="Y35" s="7">
        <v>3</v>
      </c>
      <c r="Z35" s="7">
        <v>3</v>
      </c>
      <c r="AA35" s="7">
        <v>3</v>
      </c>
      <c r="AB35" s="7">
        <v>3</v>
      </c>
      <c r="AC35" s="7" cm="1">
        <f t="array" ref="AC35">SUM(OfficeForms.Table[[#This Row],[Personas]:[Relaciones]]/5)</f>
        <v>3</v>
      </c>
      <c r="AD35">
        <v>4</v>
      </c>
      <c r="AE35">
        <v>4</v>
      </c>
      <c r="AF35">
        <v>4</v>
      </c>
      <c r="AG35">
        <v>4</v>
      </c>
      <c r="AH35">
        <v>4</v>
      </c>
      <c r="AJ35" cm="1">
        <f t="array" ref="AJ35">SUM(OfficeForms.Table[[#This Row],[Función Estratégica.Proporcionar asesoramiento a la alta dirección]:[Función Estratégica.Supervisar y controlar el desempeño de la propia PMO.]]/5)</f>
        <v>4</v>
      </c>
      <c r="AK35" s="1">
        <v>4</v>
      </c>
      <c r="AL35" s="1">
        <v>4</v>
      </c>
      <c r="AM35" s="1">
        <v>4</v>
      </c>
      <c r="AN35" s="1">
        <v>4</v>
      </c>
      <c r="AO35" s="1">
        <v>4</v>
      </c>
      <c r="AP35" s="7" cm="1">
        <f t="array" ref="AP35">SUM(OfficeForms.Table[[#This Row],[Función Táctica. Desarrollar e implementar una metodología estándar de gestión de proyectos.]:[Función Táctica.  Gestionar la base de datos de riesgos ]]/5)</f>
        <v>4</v>
      </c>
      <c r="AQ35" s="1">
        <v>4</v>
      </c>
      <c r="AR35" s="1">
        <v>4</v>
      </c>
      <c r="AS35" s="1">
        <v>4</v>
      </c>
      <c r="AT35" s="1">
        <v>4</v>
      </c>
      <c r="AU35" s="1">
        <v>4</v>
      </c>
      <c r="AV35" s="7" cm="1">
        <f t="array" ref="AV35">SUM(OfficeForms.Table[[#This Row],[Función Operativa. Informar sobre el estado del proyecto/programa a la alta dirección.]:[Función Operativa. Gestionar documentación  proyecto y positorio de gestión del conocimiento.]]/5)</f>
        <v>4</v>
      </c>
      <c r="BU35"/>
    </row>
    <row r="36" spans="1:73">
      <c r="A36" s="13">
        <v>34</v>
      </c>
      <c r="B36" s="1" t="s">
        <v>74</v>
      </c>
      <c r="C36" s="1" t="s">
        <v>80</v>
      </c>
      <c r="D36" s="1" t="s">
        <v>2</v>
      </c>
      <c r="E36" s="1" t="s">
        <v>56</v>
      </c>
      <c r="F36" s="1" t="s">
        <v>62</v>
      </c>
      <c r="G36" s="1" t="s">
        <v>65</v>
      </c>
      <c r="H36">
        <v>3</v>
      </c>
      <c r="I36" s="5" t="s">
        <v>69</v>
      </c>
      <c r="J36" t="s">
        <v>21</v>
      </c>
      <c r="K36">
        <v>4</v>
      </c>
      <c r="L36">
        <v>4</v>
      </c>
      <c r="M36">
        <v>4</v>
      </c>
      <c r="N36">
        <v>3</v>
      </c>
      <c r="O36">
        <v>3</v>
      </c>
      <c r="P36">
        <v>3</v>
      </c>
      <c r="Q36">
        <v>3</v>
      </c>
      <c r="R36">
        <v>3</v>
      </c>
      <c r="S36">
        <v>3</v>
      </c>
      <c r="T36">
        <v>3</v>
      </c>
      <c r="U36">
        <v>3</v>
      </c>
      <c r="V36">
        <v>3</v>
      </c>
      <c r="W36" s="7" cm="1">
        <f t="array" ref="W36">SUM(OfficeForms.Table[[#This Row],[Gestión del alcance ]:[Gestión de compra ]]/9)</f>
        <v>3</v>
      </c>
      <c r="X36" s="7">
        <v>3</v>
      </c>
      <c r="Y36" s="7">
        <v>3</v>
      </c>
      <c r="Z36" s="7">
        <v>3</v>
      </c>
      <c r="AA36" s="7">
        <v>3</v>
      </c>
      <c r="AB36" s="7">
        <v>3</v>
      </c>
      <c r="AC36" s="7" cm="1">
        <f t="array" ref="AC36">SUM(OfficeForms.Table[[#This Row],[Personas]:[Relaciones]]/5)</f>
        <v>3</v>
      </c>
      <c r="AD36">
        <v>4</v>
      </c>
      <c r="AE36">
        <v>4</v>
      </c>
      <c r="AF36">
        <v>4</v>
      </c>
      <c r="AG36">
        <v>4</v>
      </c>
      <c r="AH36">
        <v>4</v>
      </c>
      <c r="AJ36" cm="1">
        <f t="array" ref="AJ36">SUM(OfficeForms.Table[[#This Row],[Función Estratégica.Proporcionar asesoramiento a la alta dirección]:[Función Estratégica.Supervisar y controlar el desempeño de la propia PMO.]]/5)</f>
        <v>4</v>
      </c>
      <c r="AK36" s="1">
        <v>4</v>
      </c>
      <c r="AL36" s="1">
        <v>4</v>
      </c>
      <c r="AM36" s="1">
        <v>4</v>
      </c>
      <c r="AN36" s="1">
        <v>4</v>
      </c>
      <c r="AO36" s="1">
        <v>4</v>
      </c>
      <c r="AP36" s="7" cm="1">
        <f t="array" ref="AP36">SUM(OfficeForms.Table[[#This Row],[Función Táctica. Desarrollar e implementar una metodología estándar de gestión de proyectos.]:[Función Táctica.  Gestionar la base de datos de riesgos ]]/5)</f>
        <v>4</v>
      </c>
      <c r="AQ36" s="1">
        <v>4</v>
      </c>
      <c r="AR36" s="1">
        <v>4</v>
      </c>
      <c r="AS36" s="1">
        <v>4</v>
      </c>
      <c r="AT36" s="1">
        <v>4</v>
      </c>
      <c r="AU36" s="1">
        <v>4</v>
      </c>
      <c r="AV36" s="7" cm="1">
        <f t="array" ref="AV36">SUM(OfficeForms.Table[[#This Row],[Función Operativa. Informar sobre el estado del proyecto/programa a la alta dirección.]:[Función Operativa. Gestionar documentación  proyecto y positorio de gestión del conocimiento.]]/5)</f>
        <v>4</v>
      </c>
      <c r="BU36"/>
    </row>
    <row r="37" spans="1:73">
      <c r="A37" s="13">
        <v>35</v>
      </c>
      <c r="B37" s="1" t="s">
        <v>74</v>
      </c>
      <c r="C37" s="1" t="s">
        <v>81</v>
      </c>
      <c r="D37" s="1" t="s">
        <v>2</v>
      </c>
      <c r="E37" s="1" t="s">
        <v>59</v>
      </c>
      <c r="F37" s="1" t="s">
        <v>61</v>
      </c>
      <c r="G37" s="1" t="s">
        <v>65</v>
      </c>
      <c r="H37">
        <v>3</v>
      </c>
      <c r="I37" s="5" t="s">
        <v>69</v>
      </c>
      <c r="J37" t="s">
        <v>14</v>
      </c>
      <c r="K37">
        <v>4</v>
      </c>
      <c r="L37">
        <v>4</v>
      </c>
      <c r="M37">
        <v>4</v>
      </c>
      <c r="N37">
        <v>4</v>
      </c>
      <c r="O37">
        <v>4</v>
      </c>
      <c r="P37">
        <v>4</v>
      </c>
      <c r="Q37">
        <v>4</v>
      </c>
      <c r="R37">
        <v>4</v>
      </c>
      <c r="S37">
        <v>4</v>
      </c>
      <c r="T37">
        <v>4</v>
      </c>
      <c r="U37">
        <v>4</v>
      </c>
      <c r="V37">
        <v>4</v>
      </c>
      <c r="W37" s="7" cm="1">
        <f t="array" ref="W37">SUM(OfficeForms.Table[[#This Row],[Gestión del alcance ]:[Gestión de compra ]]/9)</f>
        <v>4.0000000000000009</v>
      </c>
      <c r="X37" s="7">
        <v>4</v>
      </c>
      <c r="Y37" s="7">
        <v>4</v>
      </c>
      <c r="Z37" s="7">
        <v>4</v>
      </c>
      <c r="AA37" s="7">
        <v>4</v>
      </c>
      <c r="AB37" s="7">
        <v>4</v>
      </c>
      <c r="AC37" s="7" cm="1">
        <f t="array" ref="AC37">SUM(OfficeForms.Table[[#This Row],[Personas]:[Relaciones]]/5)</f>
        <v>4</v>
      </c>
      <c r="AD37">
        <v>4</v>
      </c>
      <c r="AE37">
        <v>4</v>
      </c>
      <c r="AF37">
        <v>4</v>
      </c>
      <c r="AG37">
        <v>5</v>
      </c>
      <c r="AH37">
        <v>5</v>
      </c>
      <c r="AJ37" cm="1">
        <f t="array" ref="AJ37">SUM(OfficeForms.Table[[#This Row],[Función Estratégica.Proporcionar asesoramiento a la alta dirección]:[Función Estratégica.Supervisar y controlar el desempeño de la propia PMO.]]/5)</f>
        <v>4.4000000000000004</v>
      </c>
      <c r="AK37" s="1">
        <v>5</v>
      </c>
      <c r="AL37" s="1">
        <v>5</v>
      </c>
      <c r="AM37" s="1">
        <v>5</v>
      </c>
      <c r="AN37" s="1">
        <v>4</v>
      </c>
      <c r="AO37" s="1">
        <v>4</v>
      </c>
      <c r="AP37" s="7" cm="1">
        <f t="array" ref="AP37">SUM(OfficeForms.Table[[#This Row],[Función Táctica. Desarrollar e implementar una metodología estándar de gestión de proyectos.]:[Función Táctica.  Gestionar la base de datos de riesgos ]]/5)</f>
        <v>4.5999999999999996</v>
      </c>
      <c r="AQ37" s="1">
        <v>4</v>
      </c>
      <c r="AR37" s="1">
        <v>4</v>
      </c>
      <c r="AS37" s="1">
        <v>4</v>
      </c>
      <c r="AT37" s="1">
        <v>4</v>
      </c>
      <c r="AU37" s="1">
        <v>4</v>
      </c>
      <c r="AV37" s="7" cm="1">
        <f t="array" ref="AV37">SUM(OfficeForms.Table[[#This Row],[Función Operativa. Informar sobre el estado del proyecto/programa a la alta dirección.]:[Función Operativa. Gestionar documentación  proyecto y positorio de gestión del conocimiento.]]/5)</f>
        <v>4</v>
      </c>
      <c r="BU37"/>
    </row>
    <row r="38" spans="1:73">
      <c r="A38" s="13">
        <v>36</v>
      </c>
      <c r="B38" s="1" t="s">
        <v>74</v>
      </c>
      <c r="C38" s="1" t="s">
        <v>81</v>
      </c>
      <c r="D38" s="1" t="s">
        <v>2</v>
      </c>
      <c r="E38" s="1" t="s">
        <v>56</v>
      </c>
      <c r="F38" s="1" t="s">
        <v>62</v>
      </c>
      <c r="G38" s="1" t="s">
        <v>64</v>
      </c>
      <c r="H38">
        <v>3</v>
      </c>
      <c r="I38" s="5" t="s">
        <v>67</v>
      </c>
      <c r="J38" t="s">
        <v>4</v>
      </c>
      <c r="K38">
        <v>4</v>
      </c>
      <c r="L38">
        <v>4</v>
      </c>
      <c r="M38">
        <v>4</v>
      </c>
      <c r="N38">
        <v>4</v>
      </c>
      <c r="O38">
        <v>4</v>
      </c>
      <c r="P38">
        <v>4</v>
      </c>
      <c r="Q38">
        <v>4</v>
      </c>
      <c r="R38">
        <v>4</v>
      </c>
      <c r="S38">
        <v>4</v>
      </c>
      <c r="T38">
        <v>4</v>
      </c>
      <c r="U38">
        <v>4</v>
      </c>
      <c r="V38">
        <v>4</v>
      </c>
      <c r="W38" s="7" cm="1">
        <f t="array" ref="W38">SUM(OfficeForms.Table[[#This Row],[Gestión del alcance ]:[Gestión de compra ]]/9)</f>
        <v>4.0000000000000009</v>
      </c>
      <c r="X38" s="7">
        <v>4</v>
      </c>
      <c r="Y38" s="7">
        <v>4</v>
      </c>
      <c r="Z38" s="7">
        <v>4</v>
      </c>
      <c r="AA38" s="7">
        <v>4</v>
      </c>
      <c r="AB38" s="7">
        <v>4</v>
      </c>
      <c r="AC38" s="7" cm="1">
        <f t="array" ref="AC38">SUM(OfficeForms.Table[[#This Row],[Personas]:[Relaciones]]/5)</f>
        <v>4</v>
      </c>
      <c r="AD38">
        <v>4</v>
      </c>
      <c r="AE38">
        <v>4</v>
      </c>
      <c r="AF38">
        <v>4</v>
      </c>
      <c r="AG38">
        <v>4</v>
      </c>
      <c r="AH38">
        <v>4</v>
      </c>
      <c r="AJ38" cm="1">
        <f t="array" ref="AJ38">SUM(OfficeForms.Table[[#This Row],[Función Estratégica.Proporcionar asesoramiento a la alta dirección]:[Función Estratégica.Supervisar y controlar el desempeño de la propia PMO.]]/5)</f>
        <v>4</v>
      </c>
      <c r="AK38" s="1">
        <v>4</v>
      </c>
      <c r="AL38" s="1">
        <v>4</v>
      </c>
      <c r="AM38" s="1">
        <v>4</v>
      </c>
      <c r="AN38" s="1">
        <v>4</v>
      </c>
      <c r="AO38" s="1">
        <v>4</v>
      </c>
      <c r="AP38" s="7" cm="1">
        <f t="array" ref="AP38">SUM(OfficeForms.Table[[#This Row],[Función Táctica. Desarrollar e implementar una metodología estándar de gestión de proyectos.]:[Función Táctica.  Gestionar la base de datos de riesgos ]]/5)</f>
        <v>4</v>
      </c>
      <c r="AQ38" s="1">
        <v>4</v>
      </c>
      <c r="AR38" s="1">
        <v>4</v>
      </c>
      <c r="AS38" s="1">
        <v>4</v>
      </c>
      <c r="AT38" s="1">
        <v>4</v>
      </c>
      <c r="AU38" s="1">
        <v>4</v>
      </c>
      <c r="AV38" s="7" cm="1">
        <f t="array" ref="AV38">SUM(OfficeForms.Table[[#This Row],[Función Operativa. Informar sobre el estado del proyecto/programa a la alta dirección.]:[Función Operativa. Gestionar documentación  proyecto y positorio de gestión del conocimiento.]]/5)</f>
        <v>4</v>
      </c>
      <c r="BU38"/>
    </row>
    <row r="39" spans="1:73">
      <c r="A39" s="13">
        <v>37</v>
      </c>
      <c r="B39" s="1" t="s">
        <v>75</v>
      </c>
      <c r="C39" s="1" t="s">
        <v>80</v>
      </c>
      <c r="D39" s="1" t="s">
        <v>2</v>
      </c>
      <c r="E39" s="1" t="s">
        <v>59</v>
      </c>
      <c r="F39" s="1" t="s">
        <v>61</v>
      </c>
      <c r="G39" s="1" t="s">
        <v>66</v>
      </c>
      <c r="H39">
        <v>3</v>
      </c>
      <c r="I39" s="5" t="s">
        <v>69</v>
      </c>
      <c r="J39" t="s">
        <v>7</v>
      </c>
      <c r="K39">
        <v>4</v>
      </c>
      <c r="L39">
        <v>4</v>
      </c>
      <c r="M39">
        <v>4</v>
      </c>
      <c r="N39">
        <v>4</v>
      </c>
      <c r="O39">
        <v>4</v>
      </c>
      <c r="P39">
        <v>4</v>
      </c>
      <c r="Q39">
        <v>5</v>
      </c>
      <c r="R39">
        <v>4</v>
      </c>
      <c r="S39">
        <v>5</v>
      </c>
      <c r="T39">
        <v>5</v>
      </c>
      <c r="U39">
        <v>4</v>
      </c>
      <c r="V39">
        <v>5</v>
      </c>
      <c r="W39" s="7" cm="1">
        <f t="array" ref="W39">SUM(OfficeForms.Table[[#This Row],[Gestión del alcance ]:[Gestión de compra ]]/9)</f>
        <v>4.4444444444444438</v>
      </c>
      <c r="X39" s="7">
        <v>5</v>
      </c>
      <c r="Y39" s="7">
        <v>5</v>
      </c>
      <c r="Z39" s="7">
        <v>5</v>
      </c>
      <c r="AA39" s="7">
        <v>5</v>
      </c>
      <c r="AB39" s="7">
        <v>5</v>
      </c>
      <c r="AC39" s="7" cm="1">
        <f t="array" ref="AC39">SUM(OfficeForms.Table[[#This Row],[Personas]:[Relaciones]]/5)</f>
        <v>5</v>
      </c>
      <c r="AD39">
        <v>4</v>
      </c>
      <c r="AE39">
        <v>4</v>
      </c>
      <c r="AF39">
        <v>4</v>
      </c>
      <c r="AG39">
        <v>4</v>
      </c>
      <c r="AH39">
        <v>4</v>
      </c>
      <c r="AJ39" cm="1">
        <f t="array" ref="AJ39">SUM(OfficeForms.Table[[#This Row],[Función Estratégica.Proporcionar asesoramiento a la alta dirección]:[Función Estratégica.Supervisar y controlar el desempeño de la propia PMO.]]/5)</f>
        <v>4</v>
      </c>
      <c r="AK39" s="1">
        <v>4</v>
      </c>
      <c r="AL39" s="1">
        <v>4</v>
      </c>
      <c r="AM39" s="1">
        <v>4</v>
      </c>
      <c r="AN39" s="1">
        <v>4</v>
      </c>
      <c r="AO39" s="1">
        <v>4</v>
      </c>
      <c r="AP39" s="7" cm="1">
        <f t="array" ref="AP39">SUM(OfficeForms.Table[[#This Row],[Función Táctica. Desarrollar e implementar una metodología estándar de gestión de proyectos.]:[Función Táctica.  Gestionar la base de datos de riesgos ]]/5)</f>
        <v>4</v>
      </c>
      <c r="AQ39" s="1">
        <v>4</v>
      </c>
      <c r="AR39" s="1">
        <v>4</v>
      </c>
      <c r="AS39" s="1">
        <v>4</v>
      </c>
      <c r="AT39" s="1">
        <v>4</v>
      </c>
      <c r="AU39" s="1">
        <v>4</v>
      </c>
      <c r="AV39" s="7" cm="1">
        <f t="array" ref="AV39">SUM(OfficeForms.Table[[#This Row],[Función Operativa. Informar sobre el estado del proyecto/programa a la alta dirección.]:[Función Operativa. Gestionar documentación  proyecto y positorio de gestión del conocimiento.]]/5)</f>
        <v>4</v>
      </c>
      <c r="BU39"/>
    </row>
    <row r="40" spans="1:73">
      <c r="A40" s="13">
        <v>38</v>
      </c>
      <c r="B40" s="1" t="s">
        <v>74</v>
      </c>
      <c r="C40" s="1" t="s">
        <v>80</v>
      </c>
      <c r="D40" s="1" t="s">
        <v>2</v>
      </c>
      <c r="E40" s="1" t="s">
        <v>56</v>
      </c>
      <c r="F40" s="1" t="s">
        <v>3</v>
      </c>
      <c r="G40" s="1" t="s">
        <v>64</v>
      </c>
      <c r="H40">
        <v>3</v>
      </c>
      <c r="I40" s="5" t="s">
        <v>69</v>
      </c>
      <c r="J40" t="s">
        <v>9</v>
      </c>
      <c r="K40">
        <v>2</v>
      </c>
      <c r="L40">
        <v>2</v>
      </c>
      <c r="M40">
        <v>2</v>
      </c>
      <c r="N40">
        <v>1</v>
      </c>
      <c r="O40">
        <v>1</v>
      </c>
      <c r="P40">
        <v>1</v>
      </c>
      <c r="Q40">
        <v>1</v>
      </c>
      <c r="R40">
        <v>1</v>
      </c>
      <c r="S40">
        <v>1</v>
      </c>
      <c r="T40">
        <v>1</v>
      </c>
      <c r="U40">
        <v>1</v>
      </c>
      <c r="V40">
        <v>1</v>
      </c>
      <c r="W40" s="7" cm="1">
        <f t="array" ref="W40">SUM(OfficeForms.Table[[#This Row],[Gestión del alcance ]:[Gestión de compra ]]/9)</f>
        <v>1.0000000000000002</v>
      </c>
      <c r="X40" s="7">
        <v>1</v>
      </c>
      <c r="Y40" s="7">
        <v>1</v>
      </c>
      <c r="Z40" s="7">
        <v>0</v>
      </c>
      <c r="AA40" s="7">
        <v>1</v>
      </c>
      <c r="AB40" s="7">
        <v>1</v>
      </c>
      <c r="AC40" s="7" cm="1">
        <f t="array" ref="AC40">SUM(OfficeForms.Table[[#This Row],[Personas]:[Relaciones]]/5)</f>
        <v>0.8</v>
      </c>
      <c r="AD40">
        <v>2</v>
      </c>
      <c r="AE40">
        <v>1</v>
      </c>
      <c r="AF40">
        <v>2</v>
      </c>
      <c r="AG40">
        <v>1</v>
      </c>
      <c r="AH40">
        <v>2</v>
      </c>
      <c r="AJ40" cm="1">
        <f t="array" ref="AJ40">SUM(OfficeForms.Table[[#This Row],[Función Estratégica.Proporcionar asesoramiento a la alta dirección]:[Función Estratégica.Supervisar y controlar el desempeño de la propia PMO.]]/5)</f>
        <v>1.6</v>
      </c>
      <c r="AK40" s="1">
        <v>2</v>
      </c>
      <c r="AL40" s="1">
        <v>1</v>
      </c>
      <c r="AM40" s="1">
        <v>2</v>
      </c>
      <c r="AN40" s="1">
        <v>1</v>
      </c>
      <c r="AO40" s="1">
        <v>2</v>
      </c>
      <c r="AP40" s="7" cm="1">
        <f t="array" ref="AP40">SUM(OfficeForms.Table[[#This Row],[Función Táctica. Desarrollar e implementar una metodología estándar de gestión de proyectos.]:[Función Táctica.  Gestionar la base de datos de riesgos ]]/5)</f>
        <v>1.6</v>
      </c>
      <c r="AQ40" s="1">
        <v>2</v>
      </c>
      <c r="AR40" s="1">
        <v>2</v>
      </c>
      <c r="AS40" s="1">
        <v>2</v>
      </c>
      <c r="AT40" s="1">
        <v>2</v>
      </c>
      <c r="AU40" s="1">
        <v>1</v>
      </c>
      <c r="AV40" s="7" cm="1">
        <f t="array" ref="AV40">SUM(OfficeForms.Table[[#This Row],[Función Operativa. Informar sobre el estado del proyecto/programa a la alta dirección.]:[Función Operativa. Gestionar documentación  proyecto y positorio de gestión del conocimiento.]]/5)</f>
        <v>1.8</v>
      </c>
      <c r="BU40"/>
    </row>
    <row r="41" spans="1:73">
      <c r="A41" s="13">
        <v>39</v>
      </c>
      <c r="B41" s="1" t="s">
        <v>74</v>
      </c>
      <c r="C41" s="1" t="s">
        <v>80</v>
      </c>
      <c r="D41" s="1" t="s">
        <v>2</v>
      </c>
      <c r="E41" s="1" t="s">
        <v>56</v>
      </c>
      <c r="F41" s="1" t="s">
        <v>62</v>
      </c>
      <c r="G41" s="1" t="s">
        <v>65</v>
      </c>
      <c r="H41">
        <v>3</v>
      </c>
      <c r="I41" s="5" t="s">
        <v>69</v>
      </c>
      <c r="J41" t="s">
        <v>22</v>
      </c>
      <c r="K41">
        <v>2</v>
      </c>
      <c r="L41">
        <v>3</v>
      </c>
      <c r="M41">
        <v>5</v>
      </c>
      <c r="N41">
        <v>3</v>
      </c>
      <c r="O41">
        <v>4</v>
      </c>
      <c r="P41">
        <v>4</v>
      </c>
      <c r="Q41">
        <v>3</v>
      </c>
      <c r="R41">
        <v>4</v>
      </c>
      <c r="S41">
        <v>3</v>
      </c>
      <c r="T41">
        <v>3</v>
      </c>
      <c r="U41">
        <v>4</v>
      </c>
      <c r="V41">
        <v>3</v>
      </c>
      <c r="W41" s="7" cm="1">
        <f t="array" ref="W41">SUM(OfficeForms.Table[[#This Row],[Gestión del alcance ]:[Gestión de compra ]]/9)</f>
        <v>3.4444444444444442</v>
      </c>
      <c r="X41" s="7">
        <v>4</v>
      </c>
      <c r="Y41" s="7">
        <v>3</v>
      </c>
      <c r="Z41" s="7">
        <v>3</v>
      </c>
      <c r="AA41" s="7">
        <v>4</v>
      </c>
      <c r="AB41" s="7">
        <v>3</v>
      </c>
      <c r="AC41" s="7" cm="1">
        <f t="array" ref="AC41">SUM(OfficeForms.Table[[#This Row],[Personas]:[Relaciones]]/5)</f>
        <v>3.4</v>
      </c>
      <c r="AD41">
        <v>4</v>
      </c>
      <c r="AE41">
        <v>4</v>
      </c>
      <c r="AF41">
        <v>4</v>
      </c>
      <c r="AG41">
        <v>2</v>
      </c>
      <c r="AH41">
        <v>2</v>
      </c>
      <c r="AJ41" cm="1">
        <f t="array" ref="AJ41">SUM(OfficeForms.Table[[#This Row],[Función Estratégica.Proporcionar asesoramiento a la alta dirección]:[Función Estratégica.Supervisar y controlar el desempeño de la propia PMO.]]/5)</f>
        <v>3.2</v>
      </c>
      <c r="AK41" s="1">
        <v>4</v>
      </c>
      <c r="AL41" s="1">
        <v>4</v>
      </c>
      <c r="AM41" s="1">
        <v>4</v>
      </c>
      <c r="AN41" s="1">
        <v>2</v>
      </c>
      <c r="AO41" s="1">
        <v>2</v>
      </c>
      <c r="AP41" s="7" cm="1">
        <f t="array" ref="AP41">SUM(OfficeForms.Table[[#This Row],[Función Táctica. Desarrollar e implementar una metodología estándar de gestión de proyectos.]:[Función Táctica.  Gestionar la base de datos de riesgos ]]/5)</f>
        <v>3.2</v>
      </c>
      <c r="AQ41" s="1">
        <v>4</v>
      </c>
      <c r="AR41" s="1">
        <v>4</v>
      </c>
      <c r="AS41" s="1">
        <v>4</v>
      </c>
      <c r="AT41" s="1">
        <v>4</v>
      </c>
      <c r="AU41" s="1">
        <v>4</v>
      </c>
      <c r="AV41" s="7" cm="1">
        <f t="array" ref="AV41">SUM(OfficeForms.Table[[#This Row],[Función Operativa. Informar sobre el estado del proyecto/programa a la alta dirección.]:[Función Operativa. Gestionar documentación  proyecto y positorio de gestión del conocimiento.]]/5)</f>
        <v>4</v>
      </c>
      <c r="BU41"/>
    </row>
    <row r="42" spans="1:73">
      <c r="A42" s="13">
        <v>40</v>
      </c>
      <c r="B42" s="1" t="s">
        <v>75</v>
      </c>
      <c r="C42" s="1" t="s">
        <v>80</v>
      </c>
      <c r="D42" s="1" t="s">
        <v>2</v>
      </c>
      <c r="E42" s="1" t="s">
        <v>56</v>
      </c>
      <c r="F42" s="1" t="s">
        <v>61</v>
      </c>
      <c r="G42" s="1" t="s">
        <v>64</v>
      </c>
      <c r="H42">
        <v>3</v>
      </c>
      <c r="I42" s="5" t="s">
        <v>25</v>
      </c>
      <c r="J42" t="s">
        <v>6</v>
      </c>
      <c r="K42">
        <v>2</v>
      </c>
      <c r="L42">
        <v>4</v>
      </c>
      <c r="M42">
        <v>4</v>
      </c>
      <c r="N42">
        <v>2</v>
      </c>
      <c r="O42">
        <v>3</v>
      </c>
      <c r="P42">
        <v>3</v>
      </c>
      <c r="Q42">
        <v>3</v>
      </c>
      <c r="R42">
        <v>2</v>
      </c>
      <c r="S42">
        <v>2</v>
      </c>
      <c r="T42">
        <v>4</v>
      </c>
      <c r="U42">
        <v>3</v>
      </c>
      <c r="V42">
        <v>5</v>
      </c>
      <c r="W42" s="7" cm="1">
        <f t="array" ref="W42">SUM(OfficeForms.Table[[#This Row],[Gestión del alcance ]:[Gestión de compra ]]/9)</f>
        <v>3</v>
      </c>
      <c r="X42" s="7">
        <v>2</v>
      </c>
      <c r="Y42" s="7">
        <v>2</v>
      </c>
      <c r="Z42" s="7">
        <v>1</v>
      </c>
      <c r="AA42" s="7">
        <v>3</v>
      </c>
      <c r="AB42" s="7">
        <v>2</v>
      </c>
      <c r="AC42" s="7" cm="1">
        <f t="array" ref="AC42">SUM(OfficeForms.Table[[#This Row],[Personas]:[Relaciones]]/5)</f>
        <v>2</v>
      </c>
      <c r="AD42">
        <v>4</v>
      </c>
      <c r="AE42">
        <v>3</v>
      </c>
      <c r="AF42">
        <v>3</v>
      </c>
      <c r="AG42">
        <v>4</v>
      </c>
      <c r="AH42">
        <v>4</v>
      </c>
      <c r="AJ42" cm="1">
        <f t="array" ref="AJ42">SUM(OfficeForms.Table[[#This Row],[Función Estratégica.Proporcionar asesoramiento a la alta dirección]:[Función Estratégica.Supervisar y controlar el desempeño de la propia PMO.]]/5)</f>
        <v>3.5999999999999996</v>
      </c>
      <c r="AK42" s="1">
        <v>3</v>
      </c>
      <c r="AL42" s="1">
        <v>3</v>
      </c>
      <c r="AM42" s="1">
        <v>4</v>
      </c>
      <c r="AN42" s="1">
        <v>2</v>
      </c>
      <c r="AO42" s="1">
        <v>2</v>
      </c>
      <c r="AP42" s="7" cm="1">
        <f t="array" ref="AP42">SUM(OfficeForms.Table[[#This Row],[Función Táctica. Desarrollar e implementar una metodología estándar de gestión de proyectos.]:[Función Táctica.  Gestionar la base de datos de riesgos ]]/5)</f>
        <v>2.8</v>
      </c>
      <c r="AQ42" s="1">
        <v>4</v>
      </c>
      <c r="AR42" s="1">
        <v>4</v>
      </c>
      <c r="AS42" s="1">
        <v>3</v>
      </c>
      <c r="AT42" s="1">
        <v>4</v>
      </c>
      <c r="AU42" s="1">
        <v>4</v>
      </c>
      <c r="AV42" s="7" cm="1">
        <f t="array" ref="AV42">SUM(OfficeForms.Table[[#This Row],[Función Operativa. Informar sobre el estado del proyecto/programa a la alta dirección.]:[Función Operativa. Gestionar documentación  proyecto y positorio de gestión del conocimiento.]]/5)</f>
        <v>3.8</v>
      </c>
      <c r="BU42"/>
    </row>
    <row r="43" spans="1:73">
      <c r="A43" s="13">
        <v>41</v>
      </c>
      <c r="B43" s="1" t="s">
        <v>75</v>
      </c>
      <c r="C43" s="1" t="s">
        <v>80</v>
      </c>
      <c r="D43" s="1" t="s">
        <v>0</v>
      </c>
      <c r="E43" s="1" t="s">
        <v>56</v>
      </c>
      <c r="F43" s="1" t="s">
        <v>3</v>
      </c>
      <c r="G43" s="1" t="s">
        <v>65</v>
      </c>
      <c r="H43">
        <v>4</v>
      </c>
      <c r="I43" s="5" t="s">
        <v>25</v>
      </c>
      <c r="J43" t="s">
        <v>7</v>
      </c>
      <c r="K43">
        <v>5</v>
      </c>
      <c r="L43">
        <v>5</v>
      </c>
      <c r="M43">
        <v>5</v>
      </c>
      <c r="N43">
        <v>4</v>
      </c>
      <c r="O43">
        <v>5</v>
      </c>
      <c r="P43">
        <v>5</v>
      </c>
      <c r="Q43">
        <v>5</v>
      </c>
      <c r="R43">
        <v>5</v>
      </c>
      <c r="S43">
        <v>5</v>
      </c>
      <c r="T43">
        <v>5</v>
      </c>
      <c r="U43">
        <v>5</v>
      </c>
      <c r="V43">
        <v>5</v>
      </c>
      <c r="W43" s="7" cm="1">
        <f t="array" ref="W43">SUM(OfficeForms.Table[[#This Row],[Gestión del alcance ]:[Gestión de compra ]]/9)</f>
        <v>4.8888888888888884</v>
      </c>
      <c r="X43" s="7">
        <v>5</v>
      </c>
      <c r="Y43" s="7">
        <v>5</v>
      </c>
      <c r="Z43" s="7">
        <v>5</v>
      </c>
      <c r="AA43" s="7">
        <v>5</v>
      </c>
      <c r="AB43" s="7">
        <v>5</v>
      </c>
      <c r="AC43" s="7" cm="1">
        <f t="array" ref="AC43">SUM(OfficeForms.Table[[#This Row],[Personas]:[Relaciones]]/5)</f>
        <v>5</v>
      </c>
      <c r="AD43">
        <v>5</v>
      </c>
      <c r="AE43">
        <v>5</v>
      </c>
      <c r="AF43">
        <v>5</v>
      </c>
      <c r="AG43">
        <v>5</v>
      </c>
      <c r="AH43">
        <v>5</v>
      </c>
      <c r="AJ43" cm="1">
        <f t="array" ref="AJ43">SUM(OfficeForms.Table[[#This Row],[Función Estratégica.Proporcionar asesoramiento a la alta dirección]:[Función Estratégica.Supervisar y controlar el desempeño de la propia PMO.]]/5)</f>
        <v>5</v>
      </c>
      <c r="AK43" s="1">
        <v>5</v>
      </c>
      <c r="AL43" s="1">
        <v>5</v>
      </c>
      <c r="AM43" s="1">
        <v>5</v>
      </c>
      <c r="AN43" s="1">
        <v>5</v>
      </c>
      <c r="AO43" s="1">
        <v>5</v>
      </c>
      <c r="AP43" s="7" cm="1">
        <f t="array" ref="AP43">SUM(OfficeForms.Table[[#This Row],[Función Táctica. Desarrollar e implementar una metodología estándar de gestión de proyectos.]:[Función Táctica.  Gestionar la base de datos de riesgos ]]/5)</f>
        <v>5</v>
      </c>
      <c r="AQ43" s="1">
        <v>5</v>
      </c>
      <c r="AR43" s="1">
        <v>5</v>
      </c>
      <c r="AS43" s="1">
        <v>5</v>
      </c>
      <c r="AT43" s="1">
        <v>5</v>
      </c>
      <c r="AU43" s="1">
        <v>5</v>
      </c>
      <c r="AV43" s="7" cm="1">
        <f t="array" ref="AV43">SUM(OfficeForms.Table[[#This Row],[Función Operativa. Informar sobre el estado del proyecto/programa a la alta dirección.]:[Función Operativa. Gestionar documentación  proyecto y positorio de gestión del conocimiento.]]/5)</f>
        <v>5</v>
      </c>
      <c r="BU43"/>
    </row>
    <row r="44" spans="1:73">
      <c r="A44" s="13">
        <v>42</v>
      </c>
      <c r="B44" s="1" t="s">
        <v>74</v>
      </c>
      <c r="C44" s="1" t="s">
        <v>81</v>
      </c>
      <c r="D44" s="1" t="s">
        <v>2</v>
      </c>
      <c r="E44" s="1" t="s">
        <v>57</v>
      </c>
      <c r="F44" s="1" t="s">
        <v>61</v>
      </c>
      <c r="G44" s="1" t="s">
        <v>66</v>
      </c>
      <c r="H44">
        <v>4</v>
      </c>
      <c r="I44" s="5" t="s">
        <v>68</v>
      </c>
      <c r="J44" t="s">
        <v>14</v>
      </c>
      <c r="K44">
        <v>5</v>
      </c>
      <c r="L44">
        <v>5</v>
      </c>
      <c r="M44">
        <v>5</v>
      </c>
      <c r="N44">
        <v>4</v>
      </c>
      <c r="O44">
        <v>5</v>
      </c>
      <c r="P44">
        <v>5</v>
      </c>
      <c r="Q44">
        <v>5</v>
      </c>
      <c r="R44">
        <v>5</v>
      </c>
      <c r="S44">
        <v>5</v>
      </c>
      <c r="T44">
        <v>5</v>
      </c>
      <c r="U44">
        <v>5</v>
      </c>
      <c r="V44">
        <v>5</v>
      </c>
      <c r="W44" s="7" cm="1">
        <f t="array" ref="W44">SUM(OfficeForms.Table[[#This Row],[Gestión del alcance ]:[Gestión de compra ]]/9)</f>
        <v>4.8888888888888884</v>
      </c>
      <c r="X44" s="7">
        <v>5</v>
      </c>
      <c r="Y44" s="7">
        <v>5</v>
      </c>
      <c r="Z44" s="7">
        <v>5</v>
      </c>
      <c r="AA44" s="7">
        <v>5</v>
      </c>
      <c r="AB44" s="7">
        <v>5</v>
      </c>
      <c r="AC44" s="7" cm="1">
        <f t="array" ref="AC44">SUM(OfficeForms.Table[[#This Row],[Personas]:[Relaciones]]/5)</f>
        <v>5</v>
      </c>
      <c r="AD44">
        <v>5</v>
      </c>
      <c r="AE44">
        <v>5</v>
      </c>
      <c r="AF44">
        <v>5</v>
      </c>
      <c r="AG44">
        <v>5</v>
      </c>
      <c r="AH44">
        <v>5</v>
      </c>
      <c r="AJ44" cm="1">
        <f t="array" ref="AJ44">SUM(OfficeForms.Table[[#This Row],[Función Estratégica.Proporcionar asesoramiento a la alta dirección]:[Función Estratégica.Supervisar y controlar el desempeño de la propia PMO.]]/5)</f>
        <v>5</v>
      </c>
      <c r="AK44" s="1">
        <v>5</v>
      </c>
      <c r="AL44" s="1">
        <v>5</v>
      </c>
      <c r="AM44" s="1">
        <v>5</v>
      </c>
      <c r="AN44" s="1">
        <v>5</v>
      </c>
      <c r="AO44" s="1">
        <v>5</v>
      </c>
      <c r="AP44" s="7" cm="1">
        <f t="array" ref="AP44">SUM(OfficeForms.Table[[#This Row],[Función Táctica. Desarrollar e implementar una metodología estándar de gestión de proyectos.]:[Función Táctica.  Gestionar la base de datos de riesgos ]]/5)</f>
        <v>5</v>
      </c>
      <c r="AQ44" s="1">
        <v>5</v>
      </c>
      <c r="AR44" s="1">
        <v>5</v>
      </c>
      <c r="AS44" s="1">
        <v>5</v>
      </c>
      <c r="AT44" s="1">
        <v>5</v>
      </c>
      <c r="AU44" s="1">
        <v>5</v>
      </c>
      <c r="AV44" s="7" cm="1">
        <f t="array" ref="AV44">SUM(OfficeForms.Table[[#This Row],[Función Operativa. Informar sobre el estado del proyecto/programa a la alta dirección.]:[Función Operativa. Gestionar documentación  proyecto y positorio de gestión del conocimiento.]]/5)</f>
        <v>5</v>
      </c>
      <c r="BU44"/>
    </row>
    <row r="45" spans="1:73">
      <c r="A45" s="13">
        <v>43</v>
      </c>
      <c r="B45" s="1" t="s">
        <v>76</v>
      </c>
      <c r="C45" s="1" t="s">
        <v>82</v>
      </c>
      <c r="D45" s="1" t="s">
        <v>0</v>
      </c>
      <c r="E45" s="1" t="s">
        <v>56</v>
      </c>
      <c r="F45" s="1" t="s">
        <v>3</v>
      </c>
      <c r="G45" s="1" t="s">
        <v>65</v>
      </c>
      <c r="H45">
        <v>4</v>
      </c>
      <c r="I45" s="5" t="s">
        <v>69</v>
      </c>
      <c r="J45" t="s">
        <v>7</v>
      </c>
      <c r="K45">
        <v>5</v>
      </c>
      <c r="L45">
        <v>5</v>
      </c>
      <c r="M45">
        <v>5</v>
      </c>
      <c r="N45">
        <v>4</v>
      </c>
      <c r="O45">
        <v>5</v>
      </c>
      <c r="P45">
        <v>5</v>
      </c>
      <c r="Q45">
        <v>5</v>
      </c>
      <c r="R45">
        <v>5</v>
      </c>
      <c r="S45">
        <v>5</v>
      </c>
      <c r="T45">
        <v>5</v>
      </c>
      <c r="U45">
        <v>5</v>
      </c>
      <c r="V45">
        <v>5</v>
      </c>
      <c r="W45" s="7" cm="1">
        <f t="array" ref="W45">SUM(OfficeForms.Table[[#This Row],[Gestión del alcance ]:[Gestión de compra ]]/9)</f>
        <v>4.8888888888888884</v>
      </c>
      <c r="X45" s="7">
        <v>5</v>
      </c>
      <c r="Y45" s="7">
        <v>5</v>
      </c>
      <c r="Z45" s="7">
        <v>5</v>
      </c>
      <c r="AA45" s="7">
        <v>5</v>
      </c>
      <c r="AB45" s="7">
        <v>5</v>
      </c>
      <c r="AC45" s="7" cm="1">
        <f t="array" ref="AC45">SUM(OfficeForms.Table[[#This Row],[Personas]:[Relaciones]]/5)</f>
        <v>5</v>
      </c>
      <c r="AD45">
        <v>5</v>
      </c>
      <c r="AE45">
        <v>5</v>
      </c>
      <c r="AF45">
        <v>5</v>
      </c>
      <c r="AG45">
        <v>4</v>
      </c>
      <c r="AH45">
        <v>4</v>
      </c>
      <c r="AJ45" cm="1">
        <f t="array" ref="AJ45">SUM(OfficeForms.Table[[#This Row],[Función Estratégica.Proporcionar asesoramiento a la alta dirección]:[Función Estratégica.Supervisar y controlar el desempeño de la propia PMO.]]/5)</f>
        <v>4.5999999999999996</v>
      </c>
      <c r="AK45" s="1">
        <v>5</v>
      </c>
      <c r="AL45" s="1">
        <v>5</v>
      </c>
      <c r="AM45" s="1">
        <v>5</v>
      </c>
      <c r="AN45" s="1">
        <v>5</v>
      </c>
      <c r="AO45" s="1">
        <v>5</v>
      </c>
      <c r="AP45" s="7" cm="1">
        <f t="array" ref="AP45">SUM(OfficeForms.Table[[#This Row],[Función Táctica. Desarrollar e implementar una metodología estándar de gestión de proyectos.]:[Función Táctica.  Gestionar la base de datos de riesgos ]]/5)</f>
        <v>5</v>
      </c>
      <c r="AQ45" s="1">
        <v>5</v>
      </c>
      <c r="AR45" s="1">
        <v>5</v>
      </c>
      <c r="AS45" s="1">
        <v>5</v>
      </c>
      <c r="AT45" s="1">
        <v>5</v>
      </c>
      <c r="AU45" s="1">
        <v>5</v>
      </c>
      <c r="AV45" s="7" cm="1">
        <f t="array" ref="AV45">SUM(OfficeForms.Table[[#This Row],[Función Operativa. Informar sobre el estado del proyecto/programa a la alta dirección.]:[Función Operativa. Gestionar documentación  proyecto y positorio de gestión del conocimiento.]]/5)</f>
        <v>5</v>
      </c>
      <c r="BU45"/>
    </row>
    <row r="46" spans="1:73">
      <c r="A46" s="13">
        <v>44</v>
      </c>
      <c r="B46" s="1" t="s">
        <v>76</v>
      </c>
      <c r="C46" s="1" t="s">
        <v>81</v>
      </c>
      <c r="D46" s="1" t="s">
        <v>24</v>
      </c>
      <c r="E46" s="1" t="s">
        <v>59</v>
      </c>
      <c r="F46" s="1" t="s">
        <v>61</v>
      </c>
      <c r="G46" s="1" t="s">
        <v>66</v>
      </c>
      <c r="H46">
        <v>2</v>
      </c>
      <c r="I46" s="5" t="s">
        <v>68</v>
      </c>
      <c r="J46" t="s">
        <v>9</v>
      </c>
      <c r="K46">
        <v>4</v>
      </c>
      <c r="L46">
        <v>4</v>
      </c>
      <c r="M46">
        <v>4</v>
      </c>
      <c r="N46">
        <v>2</v>
      </c>
      <c r="O46">
        <v>2</v>
      </c>
      <c r="P46">
        <v>2</v>
      </c>
      <c r="Q46">
        <v>2</v>
      </c>
      <c r="R46">
        <v>2</v>
      </c>
      <c r="S46">
        <v>2</v>
      </c>
      <c r="T46">
        <v>2</v>
      </c>
      <c r="U46">
        <v>2</v>
      </c>
      <c r="V46">
        <v>2</v>
      </c>
      <c r="W46" s="7" cm="1">
        <f t="array" ref="W46">SUM(OfficeForms.Table[[#This Row],[Gestión del alcance ]:[Gestión de compra ]]/9)</f>
        <v>2.0000000000000004</v>
      </c>
      <c r="X46" s="7">
        <v>2</v>
      </c>
      <c r="Y46" s="7">
        <v>2</v>
      </c>
      <c r="Z46" s="7">
        <v>2</v>
      </c>
      <c r="AA46" s="7">
        <v>2</v>
      </c>
      <c r="AB46" s="7">
        <v>2</v>
      </c>
      <c r="AC46" s="7" cm="1">
        <f t="array" ref="AC46">SUM(OfficeForms.Table[[#This Row],[Personas]:[Relaciones]]/5)</f>
        <v>2</v>
      </c>
      <c r="AD46">
        <v>4</v>
      </c>
      <c r="AE46">
        <v>4</v>
      </c>
      <c r="AF46">
        <v>4</v>
      </c>
      <c r="AG46">
        <v>4</v>
      </c>
      <c r="AH46">
        <v>4</v>
      </c>
      <c r="AJ46" cm="1">
        <f t="array" ref="AJ46">SUM(OfficeForms.Table[[#This Row],[Función Estratégica.Proporcionar asesoramiento a la alta dirección]:[Función Estratégica.Supervisar y controlar el desempeño de la propia PMO.]]/5)</f>
        <v>4</v>
      </c>
      <c r="AK46" s="1">
        <v>4</v>
      </c>
      <c r="AL46" s="1">
        <v>3</v>
      </c>
      <c r="AM46" s="1">
        <v>3</v>
      </c>
      <c r="AN46" s="1">
        <v>3</v>
      </c>
      <c r="AO46" s="1">
        <v>3</v>
      </c>
      <c r="AP46" s="7" cm="1">
        <f t="array" ref="AP46">SUM(OfficeForms.Table[[#This Row],[Función Táctica. Desarrollar e implementar una metodología estándar de gestión de proyectos.]:[Función Táctica.  Gestionar la base de datos de riesgos ]]/5)</f>
        <v>3.2</v>
      </c>
      <c r="AQ46" s="1">
        <v>4</v>
      </c>
      <c r="AR46" s="1">
        <v>3</v>
      </c>
      <c r="AS46" s="1">
        <v>3</v>
      </c>
      <c r="AT46" s="1">
        <v>4</v>
      </c>
      <c r="AU46" s="1">
        <v>3</v>
      </c>
      <c r="AV46" s="7" cm="1">
        <f t="array" ref="AV46">SUM(OfficeForms.Table[[#This Row],[Función Operativa. Informar sobre el estado del proyecto/programa a la alta dirección.]:[Función Operativa. Gestionar documentación  proyecto y positorio de gestión del conocimiento.]]/5)</f>
        <v>3.4</v>
      </c>
      <c r="BU46"/>
    </row>
    <row r="47" spans="1:73">
      <c r="A47" s="13">
        <v>45</v>
      </c>
      <c r="B47" s="1" t="s">
        <v>74</v>
      </c>
      <c r="C47" s="1" t="s">
        <v>79</v>
      </c>
      <c r="D47" s="1" t="s">
        <v>70</v>
      </c>
      <c r="E47" s="1" t="s">
        <v>56</v>
      </c>
      <c r="F47" s="1" t="s">
        <v>3</v>
      </c>
      <c r="G47" s="1" t="s">
        <v>65</v>
      </c>
      <c r="H47">
        <v>1</v>
      </c>
      <c r="I47" s="5" t="s">
        <v>25</v>
      </c>
      <c r="J47" t="s">
        <v>8</v>
      </c>
      <c r="K47">
        <v>1</v>
      </c>
      <c r="L47">
        <v>1</v>
      </c>
      <c r="M47">
        <v>1</v>
      </c>
      <c r="N47">
        <v>2</v>
      </c>
      <c r="O47">
        <v>2</v>
      </c>
      <c r="P47">
        <v>2</v>
      </c>
      <c r="Q47">
        <v>2</v>
      </c>
      <c r="R47">
        <v>1</v>
      </c>
      <c r="S47">
        <v>2</v>
      </c>
      <c r="T47">
        <v>3</v>
      </c>
      <c r="U47">
        <v>2</v>
      </c>
      <c r="V47">
        <v>1</v>
      </c>
      <c r="W47" s="7" cm="1">
        <f t="array" ref="W47">SUM(OfficeForms.Table[[#This Row],[Gestión del alcance ]:[Gestión de compra ]]/9)</f>
        <v>1.8888888888888888</v>
      </c>
      <c r="X47" s="7">
        <v>1</v>
      </c>
      <c r="Y47" s="7">
        <v>0</v>
      </c>
      <c r="Z47" s="7">
        <v>1</v>
      </c>
      <c r="AA47" s="7">
        <v>1</v>
      </c>
      <c r="AB47" s="7">
        <v>1</v>
      </c>
      <c r="AC47" s="7" cm="1">
        <f t="array" ref="AC47">SUM(OfficeForms.Table[[#This Row],[Personas]:[Relaciones]]/5)</f>
        <v>0.8</v>
      </c>
      <c r="AD47">
        <v>2</v>
      </c>
      <c r="AE47">
        <v>2</v>
      </c>
      <c r="AF47">
        <v>2</v>
      </c>
      <c r="AG47">
        <v>2</v>
      </c>
      <c r="AH47">
        <v>2</v>
      </c>
      <c r="AJ47" cm="1">
        <f t="array" ref="AJ47">SUM(OfficeForms.Table[[#This Row],[Función Estratégica.Proporcionar asesoramiento a la alta dirección]:[Función Estratégica.Supervisar y controlar el desempeño de la propia PMO.]]/5)</f>
        <v>2</v>
      </c>
      <c r="AK47" s="1">
        <v>2</v>
      </c>
      <c r="AL47" s="1">
        <v>2</v>
      </c>
      <c r="AM47" s="1">
        <v>2</v>
      </c>
      <c r="AN47" s="1">
        <v>2</v>
      </c>
      <c r="AO47" s="1">
        <v>2</v>
      </c>
      <c r="AP47" s="7" cm="1">
        <f t="array" ref="AP47">SUM(OfficeForms.Table[[#This Row],[Función Táctica. Desarrollar e implementar una metodología estándar de gestión de proyectos.]:[Función Táctica.  Gestionar la base de datos de riesgos ]]/5)</f>
        <v>2</v>
      </c>
      <c r="AQ47" s="1">
        <v>4</v>
      </c>
      <c r="AR47" s="1">
        <v>4</v>
      </c>
      <c r="AS47" s="1">
        <v>4</v>
      </c>
      <c r="AT47" s="1">
        <v>4</v>
      </c>
      <c r="AU47" s="1">
        <v>4</v>
      </c>
      <c r="AV47" s="7" cm="1">
        <f t="array" ref="AV47">SUM(OfficeForms.Table[[#This Row],[Función Operativa. Informar sobre el estado del proyecto/programa a la alta dirección.]:[Función Operativa. Gestionar documentación  proyecto y positorio de gestión del conocimiento.]]/5)</f>
        <v>4</v>
      </c>
      <c r="BU47"/>
    </row>
    <row r="48" spans="1:73">
      <c r="A48" s="13">
        <v>46</v>
      </c>
      <c r="B48" s="1" t="s">
        <v>76</v>
      </c>
      <c r="C48" s="1" t="s">
        <v>80</v>
      </c>
      <c r="D48" s="1" t="s">
        <v>2</v>
      </c>
      <c r="E48" s="1" t="s">
        <v>56</v>
      </c>
      <c r="F48" s="1" t="s">
        <v>3</v>
      </c>
      <c r="G48" s="1" t="s">
        <v>64</v>
      </c>
      <c r="H48">
        <v>3</v>
      </c>
      <c r="I48" s="5" t="s">
        <v>67</v>
      </c>
      <c r="J48" t="s">
        <v>17</v>
      </c>
      <c r="K48">
        <v>2</v>
      </c>
      <c r="L48">
        <v>2</v>
      </c>
      <c r="M48">
        <v>2</v>
      </c>
      <c r="N48">
        <v>3</v>
      </c>
      <c r="O48">
        <v>3</v>
      </c>
      <c r="P48">
        <v>3</v>
      </c>
      <c r="Q48">
        <v>3</v>
      </c>
      <c r="R48">
        <v>3</v>
      </c>
      <c r="S48">
        <v>3</v>
      </c>
      <c r="T48">
        <v>3</v>
      </c>
      <c r="U48">
        <v>3</v>
      </c>
      <c r="V48">
        <v>3</v>
      </c>
      <c r="W48" s="7" cm="1">
        <f t="array" ref="W48">SUM(OfficeForms.Table[[#This Row],[Gestión del alcance ]:[Gestión de compra ]]/9)</f>
        <v>3</v>
      </c>
      <c r="X48" s="7">
        <v>3</v>
      </c>
      <c r="Y48" s="7">
        <v>3</v>
      </c>
      <c r="Z48" s="7">
        <v>3</v>
      </c>
      <c r="AA48" s="7">
        <v>3</v>
      </c>
      <c r="AB48" s="7">
        <v>3</v>
      </c>
      <c r="AC48" s="7" cm="1">
        <f t="array" ref="AC48">SUM(OfficeForms.Table[[#This Row],[Personas]:[Relaciones]]/5)</f>
        <v>3</v>
      </c>
      <c r="AD48">
        <v>5</v>
      </c>
      <c r="AE48">
        <v>5</v>
      </c>
      <c r="AF48">
        <v>5</v>
      </c>
      <c r="AG48">
        <v>5</v>
      </c>
      <c r="AH48">
        <v>5</v>
      </c>
      <c r="AJ48" cm="1">
        <f t="array" ref="AJ48">SUM(OfficeForms.Table[[#This Row],[Función Estratégica.Proporcionar asesoramiento a la alta dirección]:[Función Estratégica.Supervisar y controlar el desempeño de la propia PMO.]]/5)</f>
        <v>5</v>
      </c>
      <c r="AK48" s="1">
        <v>4</v>
      </c>
      <c r="AL48" s="1">
        <v>4</v>
      </c>
      <c r="AM48" s="1">
        <v>4</v>
      </c>
      <c r="AN48" s="1">
        <v>4</v>
      </c>
      <c r="AO48" s="1">
        <v>4</v>
      </c>
      <c r="AP48" s="7" cm="1">
        <f t="array" ref="AP48">SUM(OfficeForms.Table[[#This Row],[Función Táctica. Desarrollar e implementar una metodología estándar de gestión de proyectos.]:[Función Táctica.  Gestionar la base de datos de riesgos ]]/5)</f>
        <v>4</v>
      </c>
      <c r="AQ48" s="1">
        <v>4</v>
      </c>
      <c r="AR48" s="1">
        <v>4</v>
      </c>
      <c r="AS48" s="1">
        <v>4</v>
      </c>
      <c r="AT48" s="1">
        <v>4</v>
      </c>
      <c r="AU48" s="1">
        <v>4</v>
      </c>
      <c r="AV48" s="7" cm="1">
        <f t="array" ref="AV48">SUM(OfficeForms.Table[[#This Row],[Función Operativa. Informar sobre el estado del proyecto/programa a la alta dirección.]:[Función Operativa. Gestionar documentación  proyecto y positorio de gestión del conocimiento.]]/5)</f>
        <v>4</v>
      </c>
      <c r="BU48"/>
    </row>
    <row r="49" spans="1:73">
      <c r="A49" s="13">
        <v>47</v>
      </c>
      <c r="B49" s="1" t="s">
        <v>74</v>
      </c>
      <c r="C49" s="1" t="s">
        <v>81</v>
      </c>
      <c r="D49" s="1" t="s">
        <v>2</v>
      </c>
      <c r="E49" s="1" t="s">
        <v>57</v>
      </c>
      <c r="F49" s="1" t="s">
        <v>61</v>
      </c>
      <c r="G49" s="1" t="s">
        <v>66</v>
      </c>
      <c r="H49">
        <v>4</v>
      </c>
      <c r="I49" s="5" t="s">
        <v>68</v>
      </c>
      <c r="J49" t="s">
        <v>12</v>
      </c>
      <c r="K49">
        <v>5</v>
      </c>
      <c r="L49">
        <v>5</v>
      </c>
      <c r="M49">
        <v>5</v>
      </c>
      <c r="N49">
        <v>4</v>
      </c>
      <c r="O49">
        <v>5</v>
      </c>
      <c r="P49">
        <v>5</v>
      </c>
      <c r="Q49">
        <v>5</v>
      </c>
      <c r="R49">
        <v>5</v>
      </c>
      <c r="S49">
        <v>5</v>
      </c>
      <c r="T49">
        <v>5</v>
      </c>
      <c r="U49">
        <v>5</v>
      </c>
      <c r="V49">
        <v>5</v>
      </c>
      <c r="W49" s="7" cm="1">
        <f t="array" ref="W49">SUM(OfficeForms.Table[[#This Row],[Gestión del alcance ]:[Gestión de compra ]]/9)</f>
        <v>4.8888888888888884</v>
      </c>
      <c r="X49" s="7">
        <v>5</v>
      </c>
      <c r="Y49" s="7">
        <v>5</v>
      </c>
      <c r="Z49" s="7">
        <v>5</v>
      </c>
      <c r="AA49" s="7">
        <v>5</v>
      </c>
      <c r="AB49" s="7">
        <v>5</v>
      </c>
      <c r="AC49" s="7" cm="1">
        <f t="array" ref="AC49">SUM(OfficeForms.Table[[#This Row],[Personas]:[Relaciones]]/5)</f>
        <v>5</v>
      </c>
      <c r="AD49">
        <v>5</v>
      </c>
      <c r="AE49">
        <v>5</v>
      </c>
      <c r="AF49">
        <v>5</v>
      </c>
      <c r="AG49">
        <v>5</v>
      </c>
      <c r="AH49">
        <v>5</v>
      </c>
      <c r="AJ49" cm="1">
        <f t="array" ref="AJ49">SUM(OfficeForms.Table[[#This Row],[Función Estratégica.Proporcionar asesoramiento a la alta dirección]:[Función Estratégica.Supervisar y controlar el desempeño de la propia PMO.]]/5)</f>
        <v>5</v>
      </c>
      <c r="AK49" s="1">
        <v>5</v>
      </c>
      <c r="AL49" s="1">
        <v>5</v>
      </c>
      <c r="AM49" s="1">
        <v>5</v>
      </c>
      <c r="AN49" s="1">
        <v>5</v>
      </c>
      <c r="AO49" s="1">
        <v>5</v>
      </c>
      <c r="AP49" s="7" cm="1">
        <f t="array" ref="AP49">SUM(OfficeForms.Table[[#This Row],[Función Táctica. Desarrollar e implementar una metodología estándar de gestión de proyectos.]:[Función Táctica.  Gestionar la base de datos de riesgos ]]/5)</f>
        <v>5</v>
      </c>
      <c r="AQ49" s="1">
        <v>5</v>
      </c>
      <c r="AR49" s="1">
        <v>5</v>
      </c>
      <c r="AS49" s="1">
        <v>5</v>
      </c>
      <c r="AT49" s="1">
        <v>5</v>
      </c>
      <c r="AU49" s="1">
        <v>5</v>
      </c>
      <c r="AV49" s="7" cm="1">
        <f t="array" ref="AV49">SUM(OfficeForms.Table[[#This Row],[Función Operativa. Informar sobre el estado del proyecto/programa a la alta dirección.]:[Función Operativa. Gestionar documentación  proyecto y positorio de gestión del conocimiento.]]/5)</f>
        <v>5</v>
      </c>
      <c r="BU49"/>
    </row>
    <row r="50" spans="1:73">
      <c r="A50" s="13">
        <v>48</v>
      </c>
      <c r="B50" s="1" t="s">
        <v>75</v>
      </c>
      <c r="C50" s="1" t="s">
        <v>82</v>
      </c>
      <c r="D50" s="1" t="s">
        <v>0</v>
      </c>
      <c r="E50" s="1" t="s">
        <v>58</v>
      </c>
      <c r="F50" s="1" t="s">
        <v>3</v>
      </c>
      <c r="G50" s="1" t="s">
        <v>65</v>
      </c>
      <c r="H50">
        <v>3</v>
      </c>
      <c r="I50" s="5" t="s">
        <v>25</v>
      </c>
      <c r="J50" t="s">
        <v>12</v>
      </c>
      <c r="K50">
        <v>3</v>
      </c>
      <c r="L50">
        <v>3</v>
      </c>
      <c r="M50">
        <v>5</v>
      </c>
      <c r="N50">
        <v>3</v>
      </c>
      <c r="O50">
        <v>3</v>
      </c>
      <c r="P50">
        <v>3</v>
      </c>
      <c r="Q50">
        <v>3</v>
      </c>
      <c r="R50">
        <v>3</v>
      </c>
      <c r="S50">
        <v>3</v>
      </c>
      <c r="T50">
        <v>3</v>
      </c>
      <c r="U50">
        <v>3</v>
      </c>
      <c r="V50">
        <v>3</v>
      </c>
      <c r="W50" s="7" cm="1">
        <f t="array" ref="W50">SUM(OfficeForms.Table[[#This Row],[Gestión del alcance ]:[Gestión de compra ]]/9)</f>
        <v>3</v>
      </c>
      <c r="X50" s="7">
        <v>2</v>
      </c>
      <c r="Y50" s="7">
        <v>2</v>
      </c>
      <c r="Z50" s="7">
        <v>2</v>
      </c>
      <c r="AA50" s="7">
        <v>2</v>
      </c>
      <c r="AB50" s="7">
        <v>2</v>
      </c>
      <c r="AC50" s="7" cm="1">
        <f t="array" ref="AC50">SUM(OfficeForms.Table[[#This Row],[Personas]:[Relaciones]]/5)</f>
        <v>2</v>
      </c>
      <c r="AD50">
        <v>4</v>
      </c>
      <c r="AE50">
        <v>4</v>
      </c>
      <c r="AF50">
        <v>4</v>
      </c>
      <c r="AG50">
        <v>4</v>
      </c>
      <c r="AH50">
        <v>4</v>
      </c>
      <c r="AJ50" cm="1">
        <f t="array" ref="AJ50">SUM(OfficeForms.Table[[#This Row],[Función Estratégica.Proporcionar asesoramiento a la alta dirección]:[Función Estratégica.Supervisar y controlar el desempeño de la propia PMO.]]/5)</f>
        <v>4</v>
      </c>
      <c r="AK50" s="1">
        <v>4</v>
      </c>
      <c r="AL50" s="1">
        <v>4</v>
      </c>
      <c r="AM50" s="1">
        <v>4</v>
      </c>
      <c r="AN50" s="1">
        <v>4</v>
      </c>
      <c r="AO50" s="1">
        <v>4</v>
      </c>
      <c r="AP50" s="7" cm="1">
        <f t="array" ref="AP50">SUM(OfficeForms.Table[[#This Row],[Función Táctica. Desarrollar e implementar una metodología estándar de gestión de proyectos.]:[Función Táctica.  Gestionar la base de datos de riesgos ]]/5)</f>
        <v>4</v>
      </c>
      <c r="AQ50" s="1">
        <v>4</v>
      </c>
      <c r="AR50" s="1">
        <v>4</v>
      </c>
      <c r="AS50" s="1">
        <v>4</v>
      </c>
      <c r="AT50" s="1">
        <v>4</v>
      </c>
      <c r="AU50" s="1">
        <v>4</v>
      </c>
      <c r="AV50" s="7" cm="1">
        <f t="array" ref="AV50">SUM(OfficeForms.Table[[#This Row],[Función Operativa. Informar sobre el estado del proyecto/programa a la alta dirección.]:[Función Operativa. Gestionar documentación  proyecto y positorio de gestión del conocimiento.]]/5)</f>
        <v>4</v>
      </c>
      <c r="BU50"/>
    </row>
    <row r="51" spans="1:73">
      <c r="A51" s="13">
        <v>49</v>
      </c>
      <c r="B51" s="1" t="s">
        <v>74</v>
      </c>
      <c r="C51" s="1" t="s">
        <v>81</v>
      </c>
      <c r="D51" s="1" t="s">
        <v>0</v>
      </c>
      <c r="E51" s="1" t="s">
        <v>57</v>
      </c>
      <c r="F51" s="1" t="s">
        <v>62</v>
      </c>
      <c r="G51" s="1" t="s">
        <v>66</v>
      </c>
      <c r="H51">
        <v>4</v>
      </c>
      <c r="I51" s="5" t="s">
        <v>68</v>
      </c>
      <c r="J51" t="s">
        <v>7</v>
      </c>
      <c r="K51">
        <v>4</v>
      </c>
      <c r="L51">
        <v>4</v>
      </c>
      <c r="M51">
        <v>5</v>
      </c>
      <c r="N51">
        <v>4</v>
      </c>
      <c r="O51">
        <v>5</v>
      </c>
      <c r="P51">
        <v>5</v>
      </c>
      <c r="Q51">
        <v>5</v>
      </c>
      <c r="R51">
        <v>5</v>
      </c>
      <c r="S51">
        <v>5</v>
      </c>
      <c r="T51">
        <v>5</v>
      </c>
      <c r="U51">
        <v>5</v>
      </c>
      <c r="V51">
        <v>5</v>
      </c>
      <c r="W51" s="7" cm="1">
        <f t="array" ref="W51">SUM(OfficeForms.Table[[#This Row],[Gestión del alcance ]:[Gestión de compra ]]/9)</f>
        <v>4.8888888888888884</v>
      </c>
      <c r="X51" s="7">
        <v>5</v>
      </c>
      <c r="Y51" s="7">
        <v>5</v>
      </c>
      <c r="Z51" s="7">
        <v>5</v>
      </c>
      <c r="AA51" s="7">
        <v>5</v>
      </c>
      <c r="AB51" s="7">
        <v>5</v>
      </c>
      <c r="AC51" s="7" cm="1">
        <f t="array" ref="AC51">SUM(OfficeForms.Table[[#This Row],[Personas]:[Relaciones]]/5)</f>
        <v>5</v>
      </c>
      <c r="AD51">
        <v>5</v>
      </c>
      <c r="AE51">
        <v>5</v>
      </c>
      <c r="AF51">
        <v>5</v>
      </c>
      <c r="AG51">
        <v>5</v>
      </c>
      <c r="AH51">
        <v>5</v>
      </c>
      <c r="AJ51" cm="1">
        <f t="array" ref="AJ51">SUM(OfficeForms.Table[[#This Row],[Función Estratégica.Proporcionar asesoramiento a la alta dirección]:[Función Estratégica.Supervisar y controlar el desempeño de la propia PMO.]]/5)</f>
        <v>5</v>
      </c>
      <c r="AK51" s="1">
        <v>5</v>
      </c>
      <c r="AL51" s="1">
        <v>5</v>
      </c>
      <c r="AM51" s="1">
        <v>5</v>
      </c>
      <c r="AN51" s="1">
        <v>5</v>
      </c>
      <c r="AO51" s="1">
        <v>5</v>
      </c>
      <c r="AP51" s="7" cm="1">
        <f t="array" ref="AP51">SUM(OfficeForms.Table[[#This Row],[Función Táctica. Desarrollar e implementar una metodología estándar de gestión de proyectos.]:[Función Táctica.  Gestionar la base de datos de riesgos ]]/5)</f>
        <v>5</v>
      </c>
      <c r="AQ51" s="1">
        <v>5</v>
      </c>
      <c r="AR51" s="1">
        <v>5</v>
      </c>
      <c r="AS51" s="1">
        <v>5</v>
      </c>
      <c r="AT51" s="1">
        <v>5</v>
      </c>
      <c r="AU51" s="1">
        <v>5</v>
      </c>
      <c r="AV51" s="7" cm="1">
        <f t="array" ref="AV51">SUM(OfficeForms.Table[[#This Row],[Función Operativa. Informar sobre el estado del proyecto/programa a la alta dirección.]:[Función Operativa. Gestionar documentación  proyecto y positorio de gestión del conocimiento.]]/5)</f>
        <v>5</v>
      </c>
      <c r="BU51"/>
    </row>
    <row r="52" spans="1:73">
      <c r="A52" s="13">
        <v>50</v>
      </c>
      <c r="B52" s="1" t="s">
        <v>74</v>
      </c>
      <c r="C52" s="1" t="s">
        <v>80</v>
      </c>
      <c r="D52" s="1" t="s">
        <v>0</v>
      </c>
      <c r="E52" s="1" t="s">
        <v>59</v>
      </c>
      <c r="F52" s="1" t="s">
        <v>62</v>
      </c>
      <c r="G52" s="1" t="s">
        <v>65</v>
      </c>
      <c r="H52">
        <v>4</v>
      </c>
      <c r="I52" s="5" t="s">
        <v>67</v>
      </c>
      <c r="J52" t="s">
        <v>4</v>
      </c>
      <c r="K52">
        <v>3</v>
      </c>
      <c r="L52">
        <v>5</v>
      </c>
      <c r="M52">
        <v>5</v>
      </c>
      <c r="N52">
        <v>3</v>
      </c>
      <c r="O52">
        <v>3</v>
      </c>
      <c r="P52">
        <v>3</v>
      </c>
      <c r="Q52">
        <v>2</v>
      </c>
      <c r="R52">
        <v>2</v>
      </c>
      <c r="S52">
        <v>3</v>
      </c>
      <c r="T52">
        <v>3</v>
      </c>
      <c r="U52">
        <v>2</v>
      </c>
      <c r="V52">
        <v>3</v>
      </c>
      <c r="W52" s="7" cm="1">
        <f t="array" ref="W52">SUM(OfficeForms.Table[[#This Row],[Gestión del alcance ]:[Gestión de compra ]]/9)</f>
        <v>2.666666666666667</v>
      </c>
      <c r="X52" s="7">
        <v>2</v>
      </c>
      <c r="Y52" s="7">
        <v>2</v>
      </c>
      <c r="Z52" s="7">
        <v>2</v>
      </c>
      <c r="AA52" s="7">
        <v>2</v>
      </c>
      <c r="AB52" s="7">
        <v>2</v>
      </c>
      <c r="AC52" s="7" cm="1">
        <f t="array" ref="AC52">SUM(OfficeForms.Table[[#This Row],[Personas]:[Relaciones]]/5)</f>
        <v>2</v>
      </c>
      <c r="AD52">
        <v>4</v>
      </c>
      <c r="AE52">
        <v>4</v>
      </c>
      <c r="AF52">
        <v>3</v>
      </c>
      <c r="AG52">
        <v>2</v>
      </c>
      <c r="AH52">
        <v>2</v>
      </c>
      <c r="AJ52" cm="1">
        <f t="array" ref="AJ52">SUM(OfficeForms.Table[[#This Row],[Función Estratégica.Proporcionar asesoramiento a la alta dirección]:[Función Estratégica.Supervisar y controlar el desempeño de la propia PMO.]]/5)</f>
        <v>3</v>
      </c>
      <c r="AK52" s="1">
        <v>4</v>
      </c>
      <c r="AL52" s="1">
        <v>3</v>
      </c>
      <c r="AM52" s="1">
        <v>3</v>
      </c>
      <c r="AN52" s="1">
        <v>3</v>
      </c>
      <c r="AO52" s="1">
        <v>3</v>
      </c>
      <c r="AP52" s="7" cm="1">
        <f t="array" ref="AP52">SUM(OfficeForms.Table[[#This Row],[Función Táctica. Desarrollar e implementar una metodología estándar de gestión de proyectos.]:[Función Táctica.  Gestionar la base de datos de riesgos ]]/5)</f>
        <v>3.2</v>
      </c>
      <c r="AQ52" s="1">
        <v>3</v>
      </c>
      <c r="AR52" s="1">
        <v>3</v>
      </c>
      <c r="AS52" s="1">
        <v>3</v>
      </c>
      <c r="AT52" s="1">
        <v>3</v>
      </c>
      <c r="AU52" s="1">
        <v>3</v>
      </c>
      <c r="AV52" s="7" cm="1">
        <f t="array" ref="AV52">SUM(OfficeForms.Table[[#This Row],[Función Operativa. Informar sobre el estado del proyecto/programa a la alta dirección.]:[Función Operativa. Gestionar documentación  proyecto y positorio de gestión del conocimiento.]]/5)</f>
        <v>3</v>
      </c>
      <c r="BU52"/>
    </row>
    <row r="53" spans="1:73">
      <c r="A53" s="13">
        <v>51</v>
      </c>
      <c r="B53" s="1" t="s">
        <v>75</v>
      </c>
      <c r="C53" s="1" t="s">
        <v>81</v>
      </c>
      <c r="D53" s="1" t="s">
        <v>0</v>
      </c>
      <c r="E53" s="1" t="s">
        <v>59</v>
      </c>
      <c r="F53" s="1" t="s">
        <v>61</v>
      </c>
      <c r="G53" s="1" t="s">
        <v>64</v>
      </c>
      <c r="H53">
        <v>4</v>
      </c>
      <c r="I53" s="5" t="s">
        <v>68</v>
      </c>
      <c r="J53" t="s">
        <v>7</v>
      </c>
      <c r="K53">
        <v>5</v>
      </c>
      <c r="L53">
        <v>5</v>
      </c>
      <c r="M53">
        <v>5</v>
      </c>
      <c r="N53">
        <v>4</v>
      </c>
      <c r="O53">
        <v>4</v>
      </c>
      <c r="P53">
        <v>4</v>
      </c>
      <c r="Q53">
        <v>4</v>
      </c>
      <c r="R53">
        <v>4</v>
      </c>
      <c r="S53">
        <v>4</v>
      </c>
      <c r="T53">
        <v>4</v>
      </c>
      <c r="U53">
        <v>4</v>
      </c>
      <c r="V53">
        <v>4</v>
      </c>
      <c r="W53" s="7" cm="1">
        <f t="array" ref="W53">SUM(OfficeForms.Table[[#This Row],[Gestión del alcance ]:[Gestión de compra ]]/9)</f>
        <v>4.0000000000000009</v>
      </c>
      <c r="X53" s="7">
        <v>4</v>
      </c>
      <c r="Y53" s="7">
        <v>4</v>
      </c>
      <c r="Z53" s="7">
        <v>4</v>
      </c>
      <c r="AA53" s="7">
        <v>4</v>
      </c>
      <c r="AB53" s="7">
        <v>4</v>
      </c>
      <c r="AC53" s="7" cm="1">
        <f t="array" ref="AC53">SUM(OfficeForms.Table[[#This Row],[Personas]:[Relaciones]]/5)</f>
        <v>4</v>
      </c>
      <c r="AD53">
        <v>4</v>
      </c>
      <c r="AE53">
        <v>4</v>
      </c>
      <c r="AF53">
        <v>4</v>
      </c>
      <c r="AG53">
        <v>4</v>
      </c>
      <c r="AH53">
        <v>4</v>
      </c>
      <c r="AJ53" cm="1">
        <f t="array" ref="AJ53">SUM(OfficeForms.Table[[#This Row],[Función Estratégica.Proporcionar asesoramiento a la alta dirección]:[Función Estratégica.Supervisar y controlar el desempeño de la propia PMO.]]/5)</f>
        <v>4</v>
      </c>
      <c r="AK53" s="1">
        <v>4</v>
      </c>
      <c r="AL53" s="1">
        <v>4</v>
      </c>
      <c r="AM53" s="1">
        <v>4</v>
      </c>
      <c r="AN53" s="1">
        <v>4</v>
      </c>
      <c r="AO53" s="1">
        <v>4</v>
      </c>
      <c r="AP53" s="7" cm="1">
        <f t="array" ref="AP53">SUM(OfficeForms.Table[[#This Row],[Función Táctica. Desarrollar e implementar una metodología estándar de gestión de proyectos.]:[Función Táctica.  Gestionar la base de datos de riesgos ]]/5)</f>
        <v>4</v>
      </c>
      <c r="AQ53" s="1">
        <v>4</v>
      </c>
      <c r="AR53" s="1">
        <v>4</v>
      </c>
      <c r="AS53" s="1">
        <v>4</v>
      </c>
      <c r="AT53" s="1">
        <v>4</v>
      </c>
      <c r="AU53" s="1">
        <v>4</v>
      </c>
      <c r="AV53" s="7" cm="1">
        <f t="array" ref="AV53">SUM(OfficeForms.Table[[#This Row],[Función Operativa. Informar sobre el estado del proyecto/programa a la alta dirección.]:[Función Operativa. Gestionar documentación  proyecto y positorio de gestión del conocimiento.]]/5)</f>
        <v>4</v>
      </c>
      <c r="BU53"/>
    </row>
    <row r="54" spans="1:73">
      <c r="A54" s="13">
        <v>52</v>
      </c>
      <c r="B54" s="1" t="s">
        <v>74</v>
      </c>
      <c r="C54" s="1" t="s">
        <v>80</v>
      </c>
      <c r="D54" s="1" t="s">
        <v>2</v>
      </c>
      <c r="E54" s="1" t="s">
        <v>58</v>
      </c>
      <c r="F54" s="1" t="s">
        <v>62</v>
      </c>
      <c r="G54" s="1" t="s">
        <v>65</v>
      </c>
      <c r="H54">
        <v>2</v>
      </c>
      <c r="I54" s="5" t="s">
        <v>67</v>
      </c>
      <c r="J54" t="s">
        <v>14</v>
      </c>
      <c r="K54">
        <v>2</v>
      </c>
      <c r="L54">
        <v>2</v>
      </c>
      <c r="M54">
        <v>2</v>
      </c>
      <c r="N54">
        <v>2</v>
      </c>
      <c r="O54">
        <v>1</v>
      </c>
      <c r="P54">
        <v>1</v>
      </c>
      <c r="Q54">
        <v>1</v>
      </c>
      <c r="R54">
        <v>1</v>
      </c>
      <c r="S54">
        <v>1</v>
      </c>
      <c r="T54">
        <v>1</v>
      </c>
      <c r="U54">
        <v>1</v>
      </c>
      <c r="V54">
        <v>1</v>
      </c>
      <c r="W54" s="7" cm="1">
        <f t="array" ref="W54">SUM(OfficeForms.Table[[#This Row],[Gestión del alcance ]:[Gestión de compra ]]/9)</f>
        <v>1.1111111111111114</v>
      </c>
      <c r="X54" s="7">
        <v>0</v>
      </c>
      <c r="Y54" s="7">
        <v>0</v>
      </c>
      <c r="Z54" s="7">
        <v>0</v>
      </c>
      <c r="AA54" s="7">
        <v>0</v>
      </c>
      <c r="AB54" s="7">
        <v>0</v>
      </c>
      <c r="AC54" s="7" cm="1">
        <f t="array" ref="AC54">SUM(OfficeForms.Table[[#This Row],[Personas]:[Relaciones]]/5)</f>
        <v>0</v>
      </c>
      <c r="AD54">
        <v>2</v>
      </c>
      <c r="AE54">
        <v>2</v>
      </c>
      <c r="AF54">
        <v>2</v>
      </c>
      <c r="AG54">
        <v>2</v>
      </c>
      <c r="AH54">
        <v>2</v>
      </c>
      <c r="AJ54" cm="1">
        <f t="array" ref="AJ54">SUM(OfficeForms.Table[[#This Row],[Función Estratégica.Proporcionar asesoramiento a la alta dirección]:[Función Estratégica.Supervisar y controlar el desempeño de la propia PMO.]]/5)</f>
        <v>2</v>
      </c>
      <c r="AK54" s="1">
        <v>2</v>
      </c>
      <c r="AL54" s="1">
        <v>2</v>
      </c>
      <c r="AM54" s="1">
        <v>2</v>
      </c>
      <c r="AN54" s="1">
        <v>2</v>
      </c>
      <c r="AO54" s="1">
        <v>2</v>
      </c>
      <c r="AP54" s="7" cm="1">
        <f t="array" ref="AP54">SUM(OfficeForms.Table[[#This Row],[Función Táctica. Desarrollar e implementar una metodología estándar de gestión de proyectos.]:[Función Táctica.  Gestionar la base de datos de riesgos ]]/5)</f>
        <v>2</v>
      </c>
      <c r="AQ54" s="1">
        <v>2</v>
      </c>
      <c r="AR54" s="1">
        <v>2</v>
      </c>
      <c r="AS54" s="1">
        <v>2</v>
      </c>
      <c r="AT54" s="1">
        <v>2</v>
      </c>
      <c r="AU54" s="1">
        <v>2</v>
      </c>
      <c r="AV54" s="7" cm="1">
        <f t="array" ref="AV54">SUM(OfficeForms.Table[[#This Row],[Función Operativa. Informar sobre el estado del proyecto/programa a la alta dirección.]:[Función Operativa. Gestionar documentación  proyecto y positorio de gestión del conocimiento.]]/5)</f>
        <v>2</v>
      </c>
      <c r="BU54"/>
    </row>
    <row r="55" spans="1:73">
      <c r="A55" s="13">
        <v>53</v>
      </c>
      <c r="B55" s="1" t="s">
        <v>74</v>
      </c>
      <c r="C55" s="1" t="s">
        <v>80</v>
      </c>
      <c r="D55" s="1" t="s">
        <v>0</v>
      </c>
      <c r="E55" s="1" t="s">
        <v>56</v>
      </c>
      <c r="F55" s="1" t="s">
        <v>3</v>
      </c>
      <c r="G55" s="1" t="s">
        <v>65</v>
      </c>
      <c r="H55">
        <v>4</v>
      </c>
      <c r="I55" s="5" t="s">
        <v>69</v>
      </c>
      <c r="J55" t="s">
        <v>10</v>
      </c>
      <c r="K55">
        <v>4</v>
      </c>
      <c r="L55">
        <v>4</v>
      </c>
      <c r="M55">
        <v>4</v>
      </c>
      <c r="N55">
        <v>3</v>
      </c>
      <c r="O55">
        <v>4</v>
      </c>
      <c r="P55">
        <v>3</v>
      </c>
      <c r="Q55">
        <v>3</v>
      </c>
      <c r="R55">
        <v>3</v>
      </c>
      <c r="S55">
        <v>3</v>
      </c>
      <c r="T55">
        <v>3</v>
      </c>
      <c r="U55">
        <v>2</v>
      </c>
      <c r="V55">
        <v>3</v>
      </c>
      <c r="W55" s="7" cm="1">
        <f t="array" ref="W55">SUM(OfficeForms.Table[[#This Row],[Gestión del alcance ]:[Gestión de compra ]]/9)</f>
        <v>3</v>
      </c>
      <c r="X55" s="7">
        <v>1</v>
      </c>
      <c r="Y55" s="7">
        <v>1</v>
      </c>
      <c r="Z55" s="7">
        <v>1</v>
      </c>
      <c r="AA55" s="7">
        <v>1</v>
      </c>
      <c r="AB55" s="7">
        <v>1</v>
      </c>
      <c r="AC55" s="7" cm="1">
        <f t="array" ref="AC55">SUM(OfficeForms.Table[[#This Row],[Personas]:[Relaciones]]/5)</f>
        <v>1</v>
      </c>
      <c r="AD55">
        <v>2</v>
      </c>
      <c r="AE55">
        <v>2</v>
      </c>
      <c r="AF55">
        <v>4</v>
      </c>
      <c r="AG55">
        <v>2</v>
      </c>
      <c r="AH55">
        <v>2</v>
      </c>
      <c r="AJ55" cm="1">
        <f t="array" ref="AJ55">SUM(OfficeForms.Table[[#This Row],[Función Estratégica.Proporcionar asesoramiento a la alta dirección]:[Función Estratégica.Supervisar y controlar el desempeño de la propia PMO.]]/5)</f>
        <v>2.4</v>
      </c>
      <c r="AK55" s="1">
        <v>4</v>
      </c>
      <c r="AL55" s="1">
        <v>4</v>
      </c>
      <c r="AM55" s="1">
        <v>4</v>
      </c>
      <c r="AN55" s="1">
        <v>4</v>
      </c>
      <c r="AO55" s="1">
        <v>2</v>
      </c>
      <c r="AP55" s="7" cm="1">
        <f t="array" ref="AP55">SUM(OfficeForms.Table[[#This Row],[Función Táctica. Desarrollar e implementar una metodología estándar de gestión de proyectos.]:[Función Táctica.  Gestionar la base de datos de riesgos ]]/5)</f>
        <v>3.6</v>
      </c>
      <c r="AQ55" s="1">
        <v>4</v>
      </c>
      <c r="AR55" s="1">
        <v>2</v>
      </c>
      <c r="AS55" s="1">
        <v>4</v>
      </c>
      <c r="AT55" s="1">
        <v>2</v>
      </c>
      <c r="AU55" s="1">
        <v>4</v>
      </c>
      <c r="AV55" s="7" cm="1">
        <f t="array" ref="AV55">SUM(OfficeForms.Table[[#This Row],[Función Operativa. Informar sobre el estado del proyecto/programa a la alta dirección.]:[Función Operativa. Gestionar documentación  proyecto y positorio de gestión del conocimiento.]]/5)</f>
        <v>3.2</v>
      </c>
      <c r="BU55"/>
    </row>
    <row r="56" spans="1:73">
      <c r="A56" s="13">
        <v>54</v>
      </c>
      <c r="B56" s="1" t="s">
        <v>76</v>
      </c>
      <c r="C56" s="1" t="s">
        <v>82</v>
      </c>
      <c r="D56" s="1" t="s">
        <v>0</v>
      </c>
      <c r="E56" s="1" t="s">
        <v>58</v>
      </c>
      <c r="F56" s="1" t="s">
        <v>62</v>
      </c>
      <c r="G56" s="1" t="s">
        <v>65</v>
      </c>
      <c r="H56">
        <v>2</v>
      </c>
      <c r="I56" s="5" t="s">
        <v>67</v>
      </c>
      <c r="J56" t="s">
        <v>6</v>
      </c>
      <c r="K56">
        <v>2</v>
      </c>
      <c r="L56">
        <v>2</v>
      </c>
      <c r="M56">
        <v>2</v>
      </c>
      <c r="N56">
        <v>2</v>
      </c>
      <c r="O56">
        <v>2</v>
      </c>
      <c r="P56">
        <v>2</v>
      </c>
      <c r="Q56">
        <v>2</v>
      </c>
      <c r="R56">
        <v>2</v>
      </c>
      <c r="S56">
        <v>2</v>
      </c>
      <c r="T56">
        <v>2</v>
      </c>
      <c r="U56">
        <v>2</v>
      </c>
      <c r="V56">
        <v>2</v>
      </c>
      <c r="W56" s="7" cm="1">
        <f t="array" ref="W56">SUM(OfficeForms.Table[[#This Row],[Gestión del alcance ]:[Gestión de compra ]]/9)</f>
        <v>2.0000000000000004</v>
      </c>
      <c r="X56" s="7">
        <v>1</v>
      </c>
      <c r="Y56" s="7">
        <v>1</v>
      </c>
      <c r="Z56" s="7">
        <v>1</v>
      </c>
      <c r="AA56" s="7">
        <v>1</v>
      </c>
      <c r="AB56" s="7">
        <v>1</v>
      </c>
      <c r="AC56" s="7" cm="1">
        <f t="array" ref="AC56">SUM(OfficeForms.Table[[#This Row],[Personas]:[Relaciones]]/5)</f>
        <v>1</v>
      </c>
      <c r="AD56">
        <v>2</v>
      </c>
      <c r="AE56">
        <v>2</v>
      </c>
      <c r="AF56">
        <v>2</v>
      </c>
      <c r="AG56">
        <v>2</v>
      </c>
      <c r="AH56">
        <v>2</v>
      </c>
      <c r="AJ56" cm="1">
        <f t="array" ref="AJ56">SUM(OfficeForms.Table[[#This Row],[Función Estratégica.Proporcionar asesoramiento a la alta dirección]:[Función Estratégica.Supervisar y controlar el desempeño de la propia PMO.]]/5)</f>
        <v>2</v>
      </c>
      <c r="AK56" s="1">
        <v>2</v>
      </c>
      <c r="AL56" s="1">
        <v>2</v>
      </c>
      <c r="AM56" s="1">
        <v>2</v>
      </c>
      <c r="AN56" s="1">
        <v>2</v>
      </c>
      <c r="AO56" s="1">
        <v>2</v>
      </c>
      <c r="AP56" s="7" cm="1">
        <f t="array" ref="AP56">SUM(OfficeForms.Table[[#This Row],[Función Táctica. Desarrollar e implementar una metodología estándar de gestión de proyectos.]:[Función Táctica.  Gestionar la base de datos de riesgos ]]/5)</f>
        <v>2</v>
      </c>
      <c r="AQ56" s="1">
        <v>2</v>
      </c>
      <c r="AR56" s="1">
        <v>2</v>
      </c>
      <c r="AS56" s="1">
        <v>2</v>
      </c>
      <c r="AT56" s="1">
        <v>2</v>
      </c>
      <c r="AU56" s="1">
        <v>2</v>
      </c>
      <c r="AV56" s="7" cm="1">
        <f t="array" ref="AV56">SUM(OfficeForms.Table[[#This Row],[Función Operativa. Informar sobre el estado del proyecto/programa a la alta dirección.]:[Función Operativa. Gestionar documentación  proyecto y positorio de gestión del conocimiento.]]/5)</f>
        <v>2</v>
      </c>
      <c r="BU56"/>
    </row>
    <row r="57" spans="1:73">
      <c r="A57" s="13">
        <v>55</v>
      </c>
      <c r="B57" s="1" t="s">
        <v>76</v>
      </c>
      <c r="C57" s="1" t="s">
        <v>81</v>
      </c>
      <c r="D57" s="1" t="s">
        <v>0</v>
      </c>
      <c r="E57" s="1" t="s">
        <v>57</v>
      </c>
      <c r="F57" s="1" t="s">
        <v>61</v>
      </c>
      <c r="G57" s="1" t="s">
        <v>66</v>
      </c>
      <c r="H57">
        <v>4</v>
      </c>
      <c r="I57" s="5" t="s">
        <v>68</v>
      </c>
      <c r="J57" t="s">
        <v>4</v>
      </c>
      <c r="K57">
        <v>5</v>
      </c>
      <c r="L57">
        <v>5</v>
      </c>
      <c r="M57">
        <v>5</v>
      </c>
      <c r="N57">
        <v>4</v>
      </c>
      <c r="O57">
        <v>5</v>
      </c>
      <c r="P57">
        <v>5</v>
      </c>
      <c r="Q57">
        <v>5</v>
      </c>
      <c r="R57">
        <v>5</v>
      </c>
      <c r="S57">
        <v>5</v>
      </c>
      <c r="T57">
        <v>5</v>
      </c>
      <c r="U57">
        <v>5</v>
      </c>
      <c r="V57">
        <v>5</v>
      </c>
      <c r="W57" s="7" cm="1">
        <f t="array" ref="W57">SUM(OfficeForms.Table[[#This Row],[Gestión del alcance ]:[Gestión de compra ]]/9)</f>
        <v>4.8888888888888884</v>
      </c>
      <c r="X57" s="7">
        <v>5</v>
      </c>
      <c r="Y57" s="7">
        <v>5</v>
      </c>
      <c r="Z57" s="7">
        <v>5</v>
      </c>
      <c r="AA57" s="7">
        <v>5</v>
      </c>
      <c r="AB57" s="7">
        <v>5</v>
      </c>
      <c r="AC57" s="7" cm="1">
        <f t="array" ref="AC57">SUM(OfficeForms.Table[[#This Row],[Personas]:[Relaciones]]/5)</f>
        <v>5</v>
      </c>
      <c r="AD57">
        <v>5</v>
      </c>
      <c r="AE57">
        <v>5</v>
      </c>
      <c r="AF57">
        <v>5</v>
      </c>
      <c r="AG57">
        <v>5</v>
      </c>
      <c r="AH57">
        <v>5</v>
      </c>
      <c r="AJ57" cm="1">
        <f t="array" ref="AJ57">SUM(OfficeForms.Table[[#This Row],[Función Estratégica.Proporcionar asesoramiento a la alta dirección]:[Función Estratégica.Supervisar y controlar el desempeño de la propia PMO.]]/5)</f>
        <v>5</v>
      </c>
      <c r="AK57" s="1">
        <v>5</v>
      </c>
      <c r="AL57" s="1">
        <v>5</v>
      </c>
      <c r="AM57" s="1">
        <v>5</v>
      </c>
      <c r="AN57" s="1">
        <v>5</v>
      </c>
      <c r="AO57" s="1">
        <v>5</v>
      </c>
      <c r="AP57" s="7" cm="1">
        <f t="array" ref="AP57">SUM(OfficeForms.Table[[#This Row],[Función Táctica. Desarrollar e implementar una metodología estándar de gestión de proyectos.]:[Función Táctica.  Gestionar la base de datos de riesgos ]]/5)</f>
        <v>5</v>
      </c>
      <c r="AQ57" s="1">
        <v>5</v>
      </c>
      <c r="AR57" s="1">
        <v>5</v>
      </c>
      <c r="AS57" s="1">
        <v>5</v>
      </c>
      <c r="AT57" s="1">
        <v>5</v>
      </c>
      <c r="AU57" s="1">
        <v>5</v>
      </c>
      <c r="AV57" s="7" cm="1">
        <f t="array" ref="AV57">SUM(OfficeForms.Table[[#This Row],[Función Operativa. Informar sobre el estado del proyecto/programa a la alta dirección.]:[Función Operativa. Gestionar documentación  proyecto y positorio de gestión del conocimiento.]]/5)</f>
        <v>5</v>
      </c>
      <c r="BU57"/>
    </row>
    <row r="58" spans="1:73">
      <c r="A58" s="13">
        <v>56</v>
      </c>
      <c r="B58" s="1" t="s">
        <v>75</v>
      </c>
      <c r="C58" s="1" t="s">
        <v>79</v>
      </c>
      <c r="D58" s="1" t="s">
        <v>0</v>
      </c>
      <c r="E58" s="1" t="s">
        <v>59</v>
      </c>
      <c r="F58" s="1" t="s">
        <v>61</v>
      </c>
      <c r="G58" s="1" t="s">
        <v>66</v>
      </c>
      <c r="H58">
        <v>3</v>
      </c>
      <c r="I58" s="5" t="s">
        <v>25</v>
      </c>
      <c r="J58" t="s">
        <v>8</v>
      </c>
      <c r="K58">
        <v>3</v>
      </c>
      <c r="L58">
        <v>3</v>
      </c>
      <c r="M58">
        <v>3</v>
      </c>
      <c r="N58">
        <v>3</v>
      </c>
      <c r="O58">
        <v>3</v>
      </c>
      <c r="P58">
        <v>4</v>
      </c>
      <c r="Q58">
        <v>4</v>
      </c>
      <c r="R58">
        <v>4</v>
      </c>
      <c r="S58">
        <v>4</v>
      </c>
      <c r="T58">
        <v>4</v>
      </c>
      <c r="U58">
        <v>4</v>
      </c>
      <c r="V58">
        <v>4</v>
      </c>
      <c r="W58" s="7" cm="1">
        <f t="array" ref="W58">SUM(OfficeForms.Table[[#This Row],[Gestión del alcance ]:[Gestión de compra ]]/9)</f>
        <v>3.7777777777777786</v>
      </c>
      <c r="X58" s="7">
        <v>3</v>
      </c>
      <c r="Y58" s="7">
        <v>3</v>
      </c>
      <c r="Z58" s="7">
        <v>3</v>
      </c>
      <c r="AA58" s="7">
        <v>3</v>
      </c>
      <c r="AB58" s="7">
        <v>3</v>
      </c>
      <c r="AC58" s="7" cm="1">
        <f t="array" ref="AC58">SUM(OfficeForms.Table[[#This Row],[Personas]:[Relaciones]]/5)</f>
        <v>3</v>
      </c>
      <c r="AD58">
        <v>4</v>
      </c>
      <c r="AE58">
        <v>4</v>
      </c>
      <c r="AF58">
        <v>4</v>
      </c>
      <c r="AG58">
        <v>4</v>
      </c>
      <c r="AH58">
        <v>4</v>
      </c>
      <c r="AJ58" cm="1">
        <f t="array" ref="AJ58">SUM(OfficeForms.Table[[#This Row],[Función Estratégica.Proporcionar asesoramiento a la alta dirección]:[Función Estratégica.Supervisar y controlar el desempeño de la propia PMO.]]/5)</f>
        <v>4</v>
      </c>
      <c r="AK58" s="1">
        <v>4</v>
      </c>
      <c r="AL58" s="1">
        <v>4</v>
      </c>
      <c r="AM58" s="1">
        <v>4</v>
      </c>
      <c r="AN58" s="1">
        <v>4</v>
      </c>
      <c r="AO58" s="1">
        <v>4</v>
      </c>
      <c r="AP58" s="7" cm="1">
        <f t="array" ref="AP58">SUM(OfficeForms.Table[[#This Row],[Función Táctica. Desarrollar e implementar una metodología estándar de gestión de proyectos.]:[Función Táctica.  Gestionar la base de datos de riesgos ]]/5)</f>
        <v>4</v>
      </c>
      <c r="AQ58" s="1">
        <v>4</v>
      </c>
      <c r="AR58" s="1">
        <v>2</v>
      </c>
      <c r="AS58" s="1">
        <v>4</v>
      </c>
      <c r="AT58" s="1">
        <v>4</v>
      </c>
      <c r="AU58" s="1">
        <v>2</v>
      </c>
      <c r="AV58" s="7" cm="1">
        <f t="array" ref="AV58">SUM(OfficeForms.Table[[#This Row],[Función Operativa. Informar sobre el estado del proyecto/programa a la alta dirección.]:[Función Operativa. Gestionar documentación  proyecto y positorio de gestión del conocimiento.]]/5)</f>
        <v>3.1999999999999997</v>
      </c>
      <c r="BU58"/>
    </row>
    <row r="59" spans="1:73">
      <c r="A59" s="13">
        <v>57</v>
      </c>
      <c r="B59" s="1" t="s">
        <v>74</v>
      </c>
      <c r="C59" s="1" t="s">
        <v>79</v>
      </c>
      <c r="D59" s="1" t="s">
        <v>2</v>
      </c>
      <c r="E59" s="1" t="s">
        <v>59</v>
      </c>
      <c r="F59" s="1" t="s">
        <v>61</v>
      </c>
      <c r="G59" s="1" t="s">
        <v>65</v>
      </c>
      <c r="H59">
        <v>4</v>
      </c>
      <c r="I59" s="5" t="s">
        <v>68</v>
      </c>
      <c r="J59" t="s">
        <v>7</v>
      </c>
      <c r="K59">
        <v>5</v>
      </c>
      <c r="L59">
        <v>5</v>
      </c>
      <c r="M59">
        <v>5</v>
      </c>
      <c r="N59">
        <v>4</v>
      </c>
      <c r="O59">
        <v>5</v>
      </c>
      <c r="P59">
        <v>5</v>
      </c>
      <c r="Q59">
        <v>5</v>
      </c>
      <c r="R59">
        <v>5</v>
      </c>
      <c r="S59">
        <v>5</v>
      </c>
      <c r="T59">
        <v>5</v>
      </c>
      <c r="U59">
        <v>5</v>
      </c>
      <c r="V59">
        <v>5</v>
      </c>
      <c r="W59" s="7" cm="1">
        <f t="array" ref="W59">SUM(OfficeForms.Table[[#This Row],[Gestión del alcance ]:[Gestión de compra ]]/9)</f>
        <v>4.8888888888888884</v>
      </c>
      <c r="X59" s="7">
        <v>5</v>
      </c>
      <c r="Y59" s="7">
        <v>5</v>
      </c>
      <c r="Z59" s="7">
        <v>5</v>
      </c>
      <c r="AA59" s="7">
        <v>5</v>
      </c>
      <c r="AB59" s="7">
        <v>5</v>
      </c>
      <c r="AC59" s="7" cm="1">
        <f t="array" ref="AC59">SUM(OfficeForms.Table[[#This Row],[Personas]:[Relaciones]]/5)</f>
        <v>5</v>
      </c>
      <c r="AD59">
        <v>5</v>
      </c>
      <c r="AE59">
        <v>5</v>
      </c>
      <c r="AF59">
        <v>5</v>
      </c>
      <c r="AG59">
        <v>5</v>
      </c>
      <c r="AH59">
        <v>5</v>
      </c>
      <c r="AJ59" cm="1">
        <f t="array" ref="AJ59">SUM(OfficeForms.Table[[#This Row],[Función Estratégica.Proporcionar asesoramiento a la alta dirección]:[Función Estratégica.Supervisar y controlar el desempeño de la propia PMO.]]/5)</f>
        <v>5</v>
      </c>
      <c r="AK59" s="1">
        <v>5</v>
      </c>
      <c r="AL59" s="1">
        <v>5</v>
      </c>
      <c r="AM59" s="1">
        <v>5</v>
      </c>
      <c r="AN59" s="1">
        <v>5</v>
      </c>
      <c r="AO59" s="1">
        <v>5</v>
      </c>
      <c r="AP59" s="7" cm="1">
        <f t="array" ref="AP59">SUM(OfficeForms.Table[[#This Row],[Función Táctica. Desarrollar e implementar una metodología estándar de gestión de proyectos.]:[Función Táctica.  Gestionar la base de datos de riesgos ]]/5)</f>
        <v>5</v>
      </c>
      <c r="AQ59" s="1">
        <v>5</v>
      </c>
      <c r="AR59" s="1">
        <v>5</v>
      </c>
      <c r="AS59" s="1">
        <v>5</v>
      </c>
      <c r="AT59" s="1">
        <v>5</v>
      </c>
      <c r="AU59" s="1">
        <v>5</v>
      </c>
      <c r="AV59" s="7" cm="1">
        <f t="array" ref="AV59">SUM(OfficeForms.Table[[#This Row],[Función Operativa. Informar sobre el estado del proyecto/programa a la alta dirección.]:[Función Operativa. Gestionar documentación  proyecto y positorio de gestión del conocimiento.]]/5)</f>
        <v>5</v>
      </c>
      <c r="BU59"/>
    </row>
    <row r="60" spans="1:73">
      <c r="A60" s="13">
        <v>58</v>
      </c>
      <c r="B60" s="1" t="s">
        <v>74</v>
      </c>
      <c r="C60" s="1" t="s">
        <v>80</v>
      </c>
      <c r="D60" s="1" t="s">
        <v>18</v>
      </c>
      <c r="E60" s="1"/>
      <c r="F60" s="1" t="s">
        <v>3</v>
      </c>
      <c r="G60" s="1" t="s">
        <v>64</v>
      </c>
      <c r="H60">
        <v>2</v>
      </c>
      <c r="I60" s="5" t="s">
        <v>25</v>
      </c>
      <c r="J60" t="s">
        <v>4</v>
      </c>
      <c r="K60">
        <v>2</v>
      </c>
      <c r="L60">
        <v>2</v>
      </c>
      <c r="M60">
        <v>2</v>
      </c>
      <c r="N60">
        <v>2</v>
      </c>
      <c r="O60">
        <v>2</v>
      </c>
      <c r="P60">
        <v>2</v>
      </c>
      <c r="Q60">
        <v>2</v>
      </c>
      <c r="R60">
        <v>3</v>
      </c>
      <c r="S60">
        <v>3</v>
      </c>
      <c r="T60">
        <v>2</v>
      </c>
      <c r="U60">
        <v>2</v>
      </c>
      <c r="V60">
        <v>3</v>
      </c>
      <c r="W60" s="7" cm="1">
        <f t="array" ref="W60">SUM(OfficeForms.Table[[#This Row],[Gestión del alcance ]:[Gestión de compra ]]/9)</f>
        <v>2.3333333333333335</v>
      </c>
      <c r="X60" s="7">
        <v>1</v>
      </c>
      <c r="Y60" s="7">
        <v>1</v>
      </c>
      <c r="Z60" s="7">
        <v>1</v>
      </c>
      <c r="AA60" s="7">
        <v>2</v>
      </c>
      <c r="AB60" s="7">
        <v>1</v>
      </c>
      <c r="AC60" s="7" cm="1">
        <f t="array" ref="AC60">SUM(OfficeForms.Table[[#This Row],[Personas]:[Relaciones]]/5)</f>
        <v>1.2</v>
      </c>
      <c r="AD60">
        <v>2</v>
      </c>
      <c r="AE60">
        <v>2</v>
      </c>
      <c r="AF60">
        <v>2</v>
      </c>
      <c r="AG60">
        <v>2</v>
      </c>
      <c r="AH60">
        <v>1</v>
      </c>
      <c r="AJ60" cm="1">
        <f t="array" ref="AJ60">SUM(OfficeForms.Table[[#This Row],[Función Estratégica.Proporcionar asesoramiento a la alta dirección]:[Función Estratégica.Supervisar y controlar el desempeño de la propia PMO.]]/5)</f>
        <v>1.8</v>
      </c>
      <c r="AK60" s="1">
        <v>4</v>
      </c>
      <c r="AL60" s="1">
        <v>2</v>
      </c>
      <c r="AM60" s="1">
        <v>2</v>
      </c>
      <c r="AN60" s="1">
        <v>2</v>
      </c>
      <c r="AO60" s="1">
        <v>2</v>
      </c>
      <c r="AP60" s="7" cm="1">
        <f t="array" ref="AP60">SUM(OfficeForms.Table[[#This Row],[Función Táctica. Desarrollar e implementar una metodología estándar de gestión de proyectos.]:[Función Táctica.  Gestionar la base de datos de riesgos ]]/5)</f>
        <v>2.4</v>
      </c>
      <c r="AQ60" s="1">
        <v>4</v>
      </c>
      <c r="AR60" s="1">
        <v>2</v>
      </c>
      <c r="AS60" s="1">
        <v>2</v>
      </c>
      <c r="AT60" s="1">
        <v>4</v>
      </c>
      <c r="AU60" s="1">
        <v>2</v>
      </c>
      <c r="AV60" s="7" cm="1">
        <f t="array" ref="AV60">SUM(OfficeForms.Table[[#This Row],[Función Operativa. Informar sobre el estado del proyecto/programa a la alta dirección.]:[Función Operativa. Gestionar documentación  proyecto y positorio de gestión del conocimiento.]]/5)</f>
        <v>2.8000000000000003</v>
      </c>
      <c r="BU60"/>
    </row>
    <row r="61" spans="1:73">
      <c r="A61" s="13">
        <v>59</v>
      </c>
      <c r="B61" s="1" t="s">
        <v>74</v>
      </c>
      <c r="C61" s="1" t="s">
        <v>80</v>
      </c>
      <c r="D61" s="1" t="s">
        <v>2</v>
      </c>
      <c r="E61" s="1" t="s">
        <v>56</v>
      </c>
      <c r="F61" s="1" t="s">
        <v>3</v>
      </c>
      <c r="G61" s="1" t="s">
        <v>65</v>
      </c>
      <c r="H61">
        <v>4</v>
      </c>
      <c r="I61" s="5" t="s">
        <v>69</v>
      </c>
      <c r="J61" t="s">
        <v>7</v>
      </c>
      <c r="K61">
        <v>5</v>
      </c>
      <c r="L61">
        <v>5</v>
      </c>
      <c r="M61">
        <v>5</v>
      </c>
      <c r="N61">
        <v>4</v>
      </c>
      <c r="O61">
        <v>5</v>
      </c>
      <c r="P61">
        <v>5</v>
      </c>
      <c r="Q61">
        <v>5</v>
      </c>
      <c r="R61">
        <v>5</v>
      </c>
      <c r="S61">
        <v>5</v>
      </c>
      <c r="T61">
        <v>5</v>
      </c>
      <c r="U61">
        <v>5</v>
      </c>
      <c r="V61">
        <v>5</v>
      </c>
      <c r="W61" s="7" cm="1">
        <f t="array" ref="W61">SUM(OfficeForms.Table[[#This Row],[Gestión del alcance ]:[Gestión de compra ]]/9)</f>
        <v>4.8888888888888884</v>
      </c>
      <c r="X61" s="7">
        <v>5</v>
      </c>
      <c r="Y61" s="7">
        <v>5</v>
      </c>
      <c r="Z61" s="7">
        <v>5</v>
      </c>
      <c r="AA61" s="7">
        <v>5</v>
      </c>
      <c r="AB61" s="7">
        <v>5</v>
      </c>
      <c r="AC61" s="7" cm="1">
        <f t="array" ref="AC61">SUM(OfficeForms.Table[[#This Row],[Personas]:[Relaciones]]/5)</f>
        <v>5</v>
      </c>
      <c r="AD61">
        <v>5</v>
      </c>
      <c r="AE61">
        <v>5</v>
      </c>
      <c r="AF61">
        <v>5</v>
      </c>
      <c r="AG61">
        <v>5</v>
      </c>
      <c r="AH61">
        <v>5</v>
      </c>
      <c r="AJ61" cm="1">
        <f t="array" ref="AJ61">SUM(OfficeForms.Table[[#This Row],[Función Estratégica.Proporcionar asesoramiento a la alta dirección]:[Función Estratégica.Supervisar y controlar el desempeño de la propia PMO.]]/5)</f>
        <v>5</v>
      </c>
      <c r="AK61" s="1">
        <v>5</v>
      </c>
      <c r="AL61" s="1">
        <v>5</v>
      </c>
      <c r="AM61" s="1">
        <v>5</v>
      </c>
      <c r="AN61" s="1">
        <v>5</v>
      </c>
      <c r="AO61" s="1">
        <v>5</v>
      </c>
      <c r="AP61" s="7" cm="1">
        <f t="array" ref="AP61">SUM(OfficeForms.Table[[#This Row],[Función Táctica. Desarrollar e implementar una metodología estándar de gestión de proyectos.]:[Función Táctica.  Gestionar la base de datos de riesgos ]]/5)</f>
        <v>5</v>
      </c>
      <c r="AQ61" s="1">
        <v>5</v>
      </c>
      <c r="AR61" s="1">
        <v>5</v>
      </c>
      <c r="AS61" s="1">
        <v>5</v>
      </c>
      <c r="AT61" s="1">
        <v>5</v>
      </c>
      <c r="AU61" s="1">
        <v>5</v>
      </c>
      <c r="AV61" s="7" cm="1">
        <f t="array" ref="AV61">SUM(OfficeForms.Table[[#This Row],[Función Operativa. Informar sobre el estado del proyecto/programa a la alta dirección.]:[Función Operativa. Gestionar documentación  proyecto y positorio de gestión del conocimiento.]]/5)</f>
        <v>5</v>
      </c>
      <c r="BU61"/>
    </row>
    <row r="62" spans="1:73">
      <c r="A62" s="13">
        <v>60</v>
      </c>
      <c r="B62" s="1" t="s">
        <v>76</v>
      </c>
      <c r="C62" s="1" t="s">
        <v>80</v>
      </c>
      <c r="D62" s="1" t="s">
        <v>2</v>
      </c>
      <c r="E62" s="1" t="s">
        <v>59</v>
      </c>
      <c r="F62" s="1" t="s">
        <v>3</v>
      </c>
      <c r="G62" s="1" t="s">
        <v>64</v>
      </c>
      <c r="H62">
        <v>4</v>
      </c>
      <c r="I62" s="5" t="s">
        <v>69</v>
      </c>
      <c r="J62" t="s">
        <v>7</v>
      </c>
      <c r="K62">
        <v>4</v>
      </c>
      <c r="L62">
        <v>5</v>
      </c>
      <c r="M62">
        <v>4</v>
      </c>
      <c r="N62">
        <v>4</v>
      </c>
      <c r="O62">
        <v>5</v>
      </c>
      <c r="P62">
        <v>5</v>
      </c>
      <c r="Q62">
        <v>4</v>
      </c>
      <c r="R62">
        <v>4</v>
      </c>
      <c r="S62">
        <v>4</v>
      </c>
      <c r="T62">
        <v>4</v>
      </c>
      <c r="U62">
        <v>4</v>
      </c>
      <c r="V62">
        <v>4</v>
      </c>
      <c r="W62" s="7" cm="1">
        <f t="array" ref="W62">SUM(OfficeForms.Table[[#This Row],[Gestión del alcance ]:[Gestión de compra ]]/9)</f>
        <v>4.2222222222222232</v>
      </c>
      <c r="X62" s="7">
        <v>4</v>
      </c>
      <c r="Y62" s="7">
        <v>4</v>
      </c>
      <c r="Z62" s="7">
        <v>4</v>
      </c>
      <c r="AA62" s="7">
        <v>4</v>
      </c>
      <c r="AB62" s="7">
        <v>4</v>
      </c>
      <c r="AC62" s="7" cm="1">
        <f t="array" ref="AC62">SUM(OfficeForms.Table[[#This Row],[Personas]:[Relaciones]]/5)</f>
        <v>4</v>
      </c>
      <c r="AD62">
        <v>5</v>
      </c>
      <c r="AE62">
        <v>5</v>
      </c>
      <c r="AF62">
        <v>5</v>
      </c>
      <c r="AG62">
        <v>5</v>
      </c>
      <c r="AH62">
        <v>5</v>
      </c>
      <c r="AJ62" cm="1">
        <f t="array" ref="AJ62">SUM(OfficeForms.Table[[#This Row],[Función Estratégica.Proporcionar asesoramiento a la alta dirección]:[Función Estratégica.Supervisar y controlar el desempeño de la propia PMO.]]/5)</f>
        <v>5</v>
      </c>
      <c r="AK62" s="1">
        <v>5</v>
      </c>
      <c r="AL62" s="1">
        <v>5</v>
      </c>
      <c r="AM62" s="1">
        <v>5</v>
      </c>
      <c r="AN62" s="1">
        <v>3</v>
      </c>
      <c r="AO62" s="1">
        <v>3</v>
      </c>
      <c r="AP62" s="7" cm="1">
        <f t="array" ref="AP62">SUM(OfficeForms.Table[[#This Row],[Función Táctica. Desarrollar e implementar una metodología estándar de gestión de proyectos.]:[Función Táctica.  Gestionar la base de datos de riesgos ]]/5)</f>
        <v>4.2</v>
      </c>
      <c r="AQ62" s="1">
        <v>4</v>
      </c>
      <c r="AR62" s="1">
        <v>4</v>
      </c>
      <c r="AS62" s="1">
        <v>4</v>
      </c>
      <c r="AT62" s="1">
        <v>4</v>
      </c>
      <c r="AU62" s="1">
        <v>4</v>
      </c>
      <c r="AV62" s="7" cm="1">
        <f t="array" ref="AV62">SUM(OfficeForms.Table[[#This Row],[Función Operativa. Informar sobre el estado del proyecto/programa a la alta dirección.]:[Función Operativa. Gestionar documentación  proyecto y positorio de gestión del conocimiento.]]/5)</f>
        <v>4</v>
      </c>
      <c r="BU62"/>
    </row>
    <row r="63" spans="1:73">
      <c r="A63" s="13">
        <v>61</v>
      </c>
      <c r="B63" s="1" t="s">
        <v>74</v>
      </c>
      <c r="C63" s="1" t="s">
        <v>79</v>
      </c>
      <c r="D63" s="1" t="s">
        <v>0</v>
      </c>
      <c r="E63" s="1" t="s">
        <v>59</v>
      </c>
      <c r="F63" s="1" t="s">
        <v>61</v>
      </c>
      <c r="G63" s="1" t="s">
        <v>66</v>
      </c>
      <c r="H63">
        <v>3</v>
      </c>
      <c r="I63" s="5" t="s">
        <v>67</v>
      </c>
      <c r="J63" t="s">
        <v>7</v>
      </c>
      <c r="K63">
        <v>4</v>
      </c>
      <c r="L63">
        <v>4</v>
      </c>
      <c r="M63">
        <v>4</v>
      </c>
      <c r="N63">
        <v>4</v>
      </c>
      <c r="O63">
        <v>4</v>
      </c>
      <c r="P63">
        <v>4</v>
      </c>
      <c r="Q63">
        <v>4</v>
      </c>
      <c r="R63">
        <v>4</v>
      </c>
      <c r="S63">
        <v>4</v>
      </c>
      <c r="T63">
        <v>4</v>
      </c>
      <c r="U63">
        <v>4</v>
      </c>
      <c r="V63">
        <v>4</v>
      </c>
      <c r="W63" s="7" cm="1">
        <f t="array" ref="W63">SUM(OfficeForms.Table[[#This Row],[Gestión del alcance ]:[Gestión de compra ]]/9)</f>
        <v>4.0000000000000009</v>
      </c>
      <c r="X63" s="7">
        <v>4</v>
      </c>
      <c r="Y63" s="7">
        <v>4</v>
      </c>
      <c r="Z63" s="7">
        <v>4</v>
      </c>
      <c r="AA63" s="7">
        <v>4</v>
      </c>
      <c r="AB63" s="7">
        <v>4</v>
      </c>
      <c r="AC63" s="7" cm="1">
        <f t="array" ref="AC63">SUM(OfficeForms.Table[[#This Row],[Personas]:[Relaciones]]/5)</f>
        <v>4</v>
      </c>
      <c r="AD63">
        <v>4</v>
      </c>
      <c r="AE63">
        <v>4</v>
      </c>
      <c r="AF63">
        <v>4</v>
      </c>
      <c r="AG63">
        <v>4</v>
      </c>
      <c r="AH63">
        <v>4</v>
      </c>
      <c r="AJ63" cm="1">
        <f t="array" ref="AJ63">SUM(OfficeForms.Table[[#This Row],[Función Estratégica.Proporcionar asesoramiento a la alta dirección]:[Función Estratégica.Supervisar y controlar el desempeño de la propia PMO.]]/5)</f>
        <v>4</v>
      </c>
      <c r="AK63" s="1">
        <v>4</v>
      </c>
      <c r="AL63" s="1">
        <v>4</v>
      </c>
      <c r="AM63" s="1">
        <v>4</v>
      </c>
      <c r="AN63" s="1">
        <v>4</v>
      </c>
      <c r="AO63" s="1">
        <v>4</v>
      </c>
      <c r="AP63" s="7" cm="1">
        <f t="array" ref="AP63">SUM(OfficeForms.Table[[#This Row],[Función Táctica. Desarrollar e implementar una metodología estándar de gestión de proyectos.]:[Función Táctica.  Gestionar la base de datos de riesgos ]]/5)</f>
        <v>4</v>
      </c>
      <c r="AQ63" s="1">
        <v>4</v>
      </c>
      <c r="AR63" s="1">
        <v>4</v>
      </c>
      <c r="AS63" s="1">
        <v>4</v>
      </c>
      <c r="AT63" s="1">
        <v>4</v>
      </c>
      <c r="AU63" s="1">
        <v>4</v>
      </c>
      <c r="AV63" s="7" cm="1">
        <f t="array" ref="AV63">SUM(OfficeForms.Table[[#This Row],[Función Operativa. Informar sobre el estado del proyecto/programa a la alta dirección.]:[Función Operativa. Gestionar documentación  proyecto y positorio de gestión del conocimiento.]]/5)</f>
        <v>4</v>
      </c>
      <c r="BU63"/>
    </row>
    <row r="64" spans="1:73">
      <c r="A64" s="13">
        <v>62</v>
      </c>
      <c r="B64" s="1" t="s">
        <v>74</v>
      </c>
      <c r="C64" s="1" t="s">
        <v>79</v>
      </c>
      <c r="D64" s="1" t="s">
        <v>2</v>
      </c>
      <c r="E64" s="1" t="s">
        <v>56</v>
      </c>
      <c r="F64" s="1" t="s">
        <v>70</v>
      </c>
      <c r="G64" s="1" t="s">
        <v>64</v>
      </c>
      <c r="H64">
        <v>4</v>
      </c>
      <c r="I64" s="5" t="s">
        <v>67</v>
      </c>
      <c r="J64" t="s">
        <v>7</v>
      </c>
      <c r="K64">
        <v>4</v>
      </c>
      <c r="L64">
        <v>4</v>
      </c>
      <c r="M64">
        <v>4</v>
      </c>
      <c r="N64">
        <v>3</v>
      </c>
      <c r="O64">
        <v>3</v>
      </c>
      <c r="P64">
        <v>4</v>
      </c>
      <c r="Q64">
        <v>4</v>
      </c>
      <c r="R64">
        <v>2</v>
      </c>
      <c r="S64">
        <v>4</v>
      </c>
      <c r="T64">
        <v>4</v>
      </c>
      <c r="U64">
        <v>2</v>
      </c>
      <c r="V64">
        <v>4</v>
      </c>
      <c r="W64" s="7" cm="1">
        <f t="array" ref="W64">SUM(OfficeForms.Table[[#This Row],[Gestión del alcance ]:[Gestión de compra ]]/9)</f>
        <v>3.3333333333333339</v>
      </c>
      <c r="X64" s="7">
        <v>3</v>
      </c>
      <c r="Y64" s="7">
        <v>3</v>
      </c>
      <c r="Z64" s="7">
        <v>2</v>
      </c>
      <c r="AA64" s="7">
        <v>3</v>
      </c>
      <c r="AB64" s="7">
        <v>4</v>
      </c>
      <c r="AC64" s="7" cm="1">
        <f t="array" ref="AC64">SUM(OfficeForms.Table[[#This Row],[Personas]:[Relaciones]]/5)</f>
        <v>3</v>
      </c>
      <c r="AD64">
        <v>4</v>
      </c>
      <c r="AE64">
        <v>4</v>
      </c>
      <c r="AF64">
        <v>3</v>
      </c>
      <c r="AG64">
        <v>3</v>
      </c>
      <c r="AH64">
        <v>3</v>
      </c>
      <c r="AJ64" cm="1">
        <f t="array" ref="AJ64">SUM(OfficeForms.Table[[#This Row],[Función Estratégica.Proporcionar asesoramiento a la alta dirección]:[Función Estratégica.Supervisar y controlar el desempeño de la propia PMO.]]/5)</f>
        <v>3.4000000000000004</v>
      </c>
      <c r="AK64" s="1">
        <v>4</v>
      </c>
      <c r="AL64" s="1">
        <v>3</v>
      </c>
      <c r="AM64" s="1">
        <v>4</v>
      </c>
      <c r="AN64" s="1">
        <v>3</v>
      </c>
      <c r="AO64" s="1">
        <v>3</v>
      </c>
      <c r="AP64" s="7" cm="1">
        <f t="array" ref="AP64">SUM(OfficeForms.Table[[#This Row],[Función Táctica. Desarrollar e implementar una metodología estándar de gestión de proyectos.]:[Función Táctica.  Gestionar la base de datos de riesgos ]]/5)</f>
        <v>3.4000000000000004</v>
      </c>
      <c r="AQ64" s="1">
        <v>4</v>
      </c>
      <c r="AR64" s="1">
        <v>3</v>
      </c>
      <c r="AS64" s="1">
        <v>3</v>
      </c>
      <c r="AT64" s="1">
        <v>4</v>
      </c>
      <c r="AU64" s="1">
        <v>3</v>
      </c>
      <c r="AV64" s="7" cm="1">
        <f t="array" ref="AV64">SUM(OfficeForms.Table[[#This Row],[Función Operativa. Informar sobre el estado del proyecto/programa a la alta dirección.]:[Función Operativa. Gestionar documentación  proyecto y positorio de gestión del conocimiento.]]/5)</f>
        <v>3.4</v>
      </c>
      <c r="BU64"/>
    </row>
    <row r="65" spans="1:73">
      <c r="A65" s="13">
        <v>63</v>
      </c>
      <c r="B65" s="1" t="s">
        <v>74</v>
      </c>
      <c r="C65" s="1" t="s">
        <v>80</v>
      </c>
      <c r="D65" s="1" t="s">
        <v>0</v>
      </c>
      <c r="E65" s="1" t="s">
        <v>59</v>
      </c>
      <c r="F65" s="1" t="s">
        <v>3</v>
      </c>
      <c r="G65" s="1" t="s">
        <v>64</v>
      </c>
      <c r="H65">
        <v>3</v>
      </c>
      <c r="I65" s="5" t="s">
        <v>25</v>
      </c>
      <c r="J65" t="s">
        <v>7</v>
      </c>
      <c r="K65">
        <v>4</v>
      </c>
      <c r="L65">
        <v>4</v>
      </c>
      <c r="M65">
        <v>4</v>
      </c>
      <c r="N65">
        <v>4</v>
      </c>
      <c r="O65">
        <v>3</v>
      </c>
      <c r="P65">
        <v>3</v>
      </c>
      <c r="Q65">
        <v>3</v>
      </c>
      <c r="R65">
        <v>3</v>
      </c>
      <c r="S65">
        <v>3</v>
      </c>
      <c r="T65">
        <v>4</v>
      </c>
      <c r="U65">
        <v>4</v>
      </c>
      <c r="V65">
        <v>4</v>
      </c>
      <c r="W65" s="7" cm="1">
        <f t="array" ref="W65">SUM(OfficeForms.Table[[#This Row],[Gestión del alcance ]:[Gestión de compra ]]/9)</f>
        <v>3.4444444444444446</v>
      </c>
      <c r="X65" s="7">
        <v>4</v>
      </c>
      <c r="Y65" s="7">
        <v>4</v>
      </c>
      <c r="Z65" s="7">
        <v>4</v>
      </c>
      <c r="AA65" s="7">
        <v>4</v>
      </c>
      <c r="AB65" s="7">
        <v>3</v>
      </c>
      <c r="AC65" s="7" cm="1">
        <f t="array" ref="AC65">SUM(OfficeForms.Table[[#This Row],[Personas]:[Relaciones]]/5)</f>
        <v>3.8000000000000003</v>
      </c>
      <c r="AD65">
        <v>4</v>
      </c>
      <c r="AE65">
        <v>4</v>
      </c>
      <c r="AF65">
        <v>4</v>
      </c>
      <c r="AG65">
        <v>4</v>
      </c>
      <c r="AH65">
        <v>4</v>
      </c>
      <c r="AJ65" cm="1">
        <f t="array" ref="AJ65">SUM(OfficeForms.Table[[#This Row],[Función Estratégica.Proporcionar asesoramiento a la alta dirección]:[Función Estratégica.Supervisar y controlar el desempeño de la propia PMO.]]/5)</f>
        <v>4</v>
      </c>
      <c r="AK65" s="1">
        <v>4</v>
      </c>
      <c r="AL65" s="1">
        <v>4</v>
      </c>
      <c r="AM65" s="1">
        <v>4</v>
      </c>
      <c r="AN65" s="1">
        <v>4</v>
      </c>
      <c r="AO65" s="1">
        <v>4</v>
      </c>
      <c r="AP65" s="7" cm="1">
        <f t="array" ref="AP65">SUM(OfficeForms.Table[[#This Row],[Función Táctica. Desarrollar e implementar una metodología estándar de gestión de proyectos.]:[Función Táctica.  Gestionar la base de datos de riesgos ]]/5)</f>
        <v>4</v>
      </c>
      <c r="AQ65" s="1">
        <v>4</v>
      </c>
      <c r="AR65" s="1">
        <v>4</v>
      </c>
      <c r="AS65" s="1">
        <v>4</v>
      </c>
      <c r="AT65" s="1">
        <v>4</v>
      </c>
      <c r="AU65" s="1">
        <v>4</v>
      </c>
      <c r="AV65" s="7" cm="1">
        <f t="array" ref="AV65">SUM(OfficeForms.Table[[#This Row],[Función Operativa. Informar sobre el estado del proyecto/programa a la alta dirección.]:[Función Operativa. Gestionar documentación  proyecto y positorio de gestión del conocimiento.]]/5)</f>
        <v>4</v>
      </c>
      <c r="BU65"/>
    </row>
    <row r="66" spans="1:73">
      <c r="A66" s="13">
        <v>64</v>
      </c>
      <c r="B66" s="1" t="s">
        <v>74</v>
      </c>
      <c r="C66" s="1" t="s">
        <v>79</v>
      </c>
      <c r="D66" s="1" t="s">
        <v>0</v>
      </c>
      <c r="E66" s="1" t="s">
        <v>59</v>
      </c>
      <c r="F66" s="1" t="s">
        <v>62</v>
      </c>
      <c r="G66" s="1" t="s">
        <v>65</v>
      </c>
      <c r="H66">
        <v>3</v>
      </c>
      <c r="I66" s="5" t="s">
        <v>67</v>
      </c>
      <c r="J66" t="s">
        <v>7</v>
      </c>
      <c r="K66">
        <v>4</v>
      </c>
      <c r="L66">
        <v>4</v>
      </c>
      <c r="M66">
        <v>4</v>
      </c>
      <c r="N66">
        <v>4</v>
      </c>
      <c r="O66">
        <v>4</v>
      </c>
      <c r="P66">
        <v>4</v>
      </c>
      <c r="Q66">
        <v>4</v>
      </c>
      <c r="R66">
        <v>4</v>
      </c>
      <c r="S66">
        <v>5</v>
      </c>
      <c r="T66">
        <v>5</v>
      </c>
      <c r="U66">
        <v>4</v>
      </c>
      <c r="V66">
        <v>5</v>
      </c>
      <c r="W66" s="7" cm="1">
        <f t="array" ref="W66">SUM(OfficeForms.Table[[#This Row],[Gestión del alcance ]:[Gestión de compra ]]/9)</f>
        <v>4.333333333333333</v>
      </c>
      <c r="X66" s="7">
        <v>4</v>
      </c>
      <c r="Y66" s="7">
        <v>4</v>
      </c>
      <c r="Z66" s="7">
        <v>4</v>
      </c>
      <c r="AA66" s="7">
        <v>4</v>
      </c>
      <c r="AB66" s="7">
        <v>4</v>
      </c>
      <c r="AC66" s="7" cm="1">
        <f t="array" ref="AC66">SUM(OfficeForms.Table[[#This Row],[Personas]:[Relaciones]]/5)</f>
        <v>4</v>
      </c>
      <c r="AD66">
        <v>4</v>
      </c>
      <c r="AE66">
        <v>4</v>
      </c>
      <c r="AF66">
        <v>4</v>
      </c>
      <c r="AG66">
        <v>4</v>
      </c>
      <c r="AH66">
        <v>4</v>
      </c>
      <c r="AJ66" cm="1">
        <f t="array" ref="AJ66">SUM(OfficeForms.Table[[#This Row],[Función Estratégica.Proporcionar asesoramiento a la alta dirección]:[Función Estratégica.Supervisar y controlar el desempeño de la propia PMO.]]/5)</f>
        <v>4</v>
      </c>
      <c r="AK66" s="1">
        <v>4</v>
      </c>
      <c r="AL66" s="1">
        <v>4</v>
      </c>
      <c r="AM66" s="1">
        <v>4</v>
      </c>
      <c r="AN66" s="1">
        <v>4</v>
      </c>
      <c r="AO66" s="1">
        <v>4</v>
      </c>
      <c r="AP66" s="7" cm="1">
        <f t="array" ref="AP66">SUM(OfficeForms.Table[[#This Row],[Función Táctica. Desarrollar e implementar una metodología estándar de gestión de proyectos.]:[Función Táctica.  Gestionar la base de datos de riesgos ]]/5)</f>
        <v>4</v>
      </c>
      <c r="AQ66" s="1">
        <v>4</v>
      </c>
      <c r="AR66" s="1">
        <v>4</v>
      </c>
      <c r="AS66" s="1">
        <v>4</v>
      </c>
      <c r="AT66" s="1">
        <v>4</v>
      </c>
      <c r="AU66" s="1">
        <v>4</v>
      </c>
      <c r="AV66" s="7" cm="1">
        <f t="array" ref="AV66">SUM(OfficeForms.Table[[#This Row],[Función Operativa. Informar sobre el estado del proyecto/programa a la alta dirección.]:[Función Operativa. Gestionar documentación  proyecto y positorio de gestión del conocimiento.]]/5)</f>
        <v>4</v>
      </c>
      <c r="BU66"/>
    </row>
    <row r="67" spans="1:73">
      <c r="A67" s="13">
        <v>65</v>
      </c>
      <c r="B67" s="1" t="s">
        <v>74</v>
      </c>
      <c r="C67" s="1" t="s">
        <v>82</v>
      </c>
      <c r="D67" s="1" t="s">
        <v>0</v>
      </c>
      <c r="E67" s="1" t="s">
        <v>59</v>
      </c>
      <c r="F67" s="1" t="s">
        <v>3</v>
      </c>
      <c r="G67" s="1" t="s">
        <v>65</v>
      </c>
      <c r="H67">
        <v>3</v>
      </c>
      <c r="I67" s="5" t="s">
        <v>25</v>
      </c>
      <c r="J67" t="s">
        <v>7</v>
      </c>
      <c r="K67">
        <v>4</v>
      </c>
      <c r="L67">
        <v>4</v>
      </c>
      <c r="M67">
        <v>5</v>
      </c>
      <c r="N67">
        <v>2</v>
      </c>
      <c r="O67">
        <v>2</v>
      </c>
      <c r="P67">
        <v>2</v>
      </c>
      <c r="Q67">
        <v>1</v>
      </c>
      <c r="R67">
        <v>1</v>
      </c>
      <c r="S67">
        <v>2</v>
      </c>
      <c r="T67">
        <v>2</v>
      </c>
      <c r="U67">
        <v>1</v>
      </c>
      <c r="V67">
        <v>3</v>
      </c>
      <c r="W67" s="7" cm="1">
        <f t="array" ref="W67">SUM(OfficeForms.Table[[#This Row],[Gestión del alcance ]:[Gestión de compra ]]/9)</f>
        <v>1.7777777777777779</v>
      </c>
      <c r="X67" s="7">
        <v>1</v>
      </c>
      <c r="Y67" s="7">
        <v>1</v>
      </c>
      <c r="Z67" s="7">
        <v>0</v>
      </c>
      <c r="AA67" s="7">
        <v>2</v>
      </c>
      <c r="AB67" s="7">
        <v>1</v>
      </c>
      <c r="AC67" s="7" cm="1">
        <f t="array" ref="AC67">SUM(OfficeForms.Table[[#This Row],[Personas]:[Relaciones]]/5)</f>
        <v>1</v>
      </c>
      <c r="AD67">
        <v>5</v>
      </c>
      <c r="AE67">
        <v>4</v>
      </c>
      <c r="AF67">
        <v>5</v>
      </c>
      <c r="AG67">
        <v>4</v>
      </c>
      <c r="AH67">
        <v>3</v>
      </c>
      <c r="AJ67" cm="1">
        <f t="array" ref="AJ67">SUM(OfficeForms.Table[[#This Row],[Función Estratégica.Proporcionar asesoramiento a la alta dirección]:[Función Estratégica.Supervisar y controlar el desempeño de la propia PMO.]]/5)</f>
        <v>4.1999999999999993</v>
      </c>
      <c r="AK67" s="1">
        <v>2</v>
      </c>
      <c r="AL67" s="1">
        <v>3</v>
      </c>
      <c r="AM67" s="1">
        <v>4</v>
      </c>
      <c r="AN67" s="1">
        <v>3</v>
      </c>
      <c r="AO67" s="1">
        <v>2</v>
      </c>
      <c r="AP67" s="7" cm="1">
        <f t="array" ref="AP67">SUM(OfficeForms.Table[[#This Row],[Función Táctica. Desarrollar e implementar una metodología estándar de gestión de proyectos.]:[Función Táctica.  Gestionar la base de datos de riesgos ]]/5)</f>
        <v>2.8</v>
      </c>
      <c r="AQ67" s="1">
        <v>3</v>
      </c>
      <c r="AR67" s="1">
        <v>4</v>
      </c>
      <c r="AS67" s="1">
        <v>5</v>
      </c>
      <c r="AT67" s="1">
        <v>4</v>
      </c>
      <c r="AU67" s="1">
        <v>3</v>
      </c>
      <c r="AV67" s="7" cm="1">
        <f t="array" ref="AV67">SUM(OfficeForms.Table[[#This Row],[Función Operativa. Informar sobre el estado del proyecto/programa a la alta dirección.]:[Función Operativa. Gestionar documentación  proyecto y positorio de gestión del conocimiento.]]/5)</f>
        <v>3.8000000000000003</v>
      </c>
      <c r="BU67"/>
    </row>
    <row r="68" spans="1:73">
      <c r="A68" s="13">
        <v>66</v>
      </c>
      <c r="B68" s="1" t="s">
        <v>74</v>
      </c>
      <c r="C68" s="1" t="s">
        <v>79</v>
      </c>
      <c r="D68" s="1" t="s">
        <v>0</v>
      </c>
      <c r="E68" s="1" t="s">
        <v>59</v>
      </c>
      <c r="F68" s="1" t="s">
        <v>61</v>
      </c>
      <c r="G68" s="1" t="s">
        <v>66</v>
      </c>
      <c r="H68">
        <v>4</v>
      </c>
      <c r="I68" s="5" t="s">
        <v>68</v>
      </c>
      <c r="J68" t="s">
        <v>20</v>
      </c>
      <c r="K68">
        <v>5</v>
      </c>
      <c r="L68">
        <v>5</v>
      </c>
      <c r="M68">
        <v>5</v>
      </c>
      <c r="N68">
        <v>4</v>
      </c>
      <c r="O68">
        <v>5</v>
      </c>
      <c r="P68">
        <v>5</v>
      </c>
      <c r="Q68">
        <v>5</v>
      </c>
      <c r="R68">
        <v>5</v>
      </c>
      <c r="S68">
        <v>5</v>
      </c>
      <c r="T68">
        <v>5</v>
      </c>
      <c r="U68">
        <v>5</v>
      </c>
      <c r="V68">
        <v>5</v>
      </c>
      <c r="W68" s="7" cm="1">
        <f t="array" ref="W68">SUM(OfficeForms.Table[[#This Row],[Gestión del alcance ]:[Gestión de compra ]]/9)</f>
        <v>4.8888888888888884</v>
      </c>
      <c r="X68" s="7">
        <v>5</v>
      </c>
      <c r="Y68" s="7">
        <v>5</v>
      </c>
      <c r="Z68" s="7">
        <v>5</v>
      </c>
      <c r="AA68" s="7">
        <v>5</v>
      </c>
      <c r="AB68" s="7">
        <v>5</v>
      </c>
      <c r="AC68" s="7" cm="1">
        <f t="array" ref="AC68">SUM(OfficeForms.Table[[#This Row],[Personas]:[Relaciones]]/5)</f>
        <v>5</v>
      </c>
      <c r="AD68">
        <v>5</v>
      </c>
      <c r="AE68">
        <v>5</v>
      </c>
      <c r="AF68">
        <v>5</v>
      </c>
      <c r="AG68">
        <v>5</v>
      </c>
      <c r="AH68">
        <v>5</v>
      </c>
      <c r="AJ68" cm="1">
        <f t="array" ref="AJ68">SUM(OfficeForms.Table[[#This Row],[Función Estratégica.Proporcionar asesoramiento a la alta dirección]:[Función Estratégica.Supervisar y controlar el desempeño de la propia PMO.]]/5)</f>
        <v>5</v>
      </c>
      <c r="AK68" s="1">
        <v>5</v>
      </c>
      <c r="AL68" s="1">
        <v>5</v>
      </c>
      <c r="AM68" s="1">
        <v>5</v>
      </c>
      <c r="AN68" s="1">
        <v>5</v>
      </c>
      <c r="AO68" s="1">
        <v>5</v>
      </c>
      <c r="AP68" s="7" cm="1">
        <f t="array" ref="AP68">SUM(OfficeForms.Table[[#This Row],[Función Táctica. Desarrollar e implementar una metodología estándar de gestión de proyectos.]:[Función Táctica.  Gestionar la base de datos de riesgos ]]/5)</f>
        <v>5</v>
      </c>
      <c r="AQ68" s="1">
        <v>5</v>
      </c>
      <c r="AR68" s="1">
        <v>5</v>
      </c>
      <c r="AS68" s="1">
        <v>5</v>
      </c>
      <c r="AT68" s="1">
        <v>5</v>
      </c>
      <c r="AU68" s="1">
        <v>5</v>
      </c>
      <c r="AV68" s="7" cm="1">
        <f t="array" ref="AV68">SUM(OfficeForms.Table[[#This Row],[Función Operativa. Informar sobre el estado del proyecto/programa a la alta dirección.]:[Función Operativa. Gestionar documentación  proyecto y positorio de gestión del conocimiento.]]/5)</f>
        <v>5</v>
      </c>
      <c r="BU68"/>
    </row>
    <row r="69" spans="1:73">
      <c r="A69" s="13">
        <v>67</v>
      </c>
      <c r="B69" s="1" t="s">
        <v>74</v>
      </c>
      <c r="C69" s="1" t="s">
        <v>79</v>
      </c>
      <c r="D69" s="1" t="s">
        <v>18</v>
      </c>
      <c r="E69" s="1" t="s">
        <v>59</v>
      </c>
      <c r="F69" s="1" t="s">
        <v>3</v>
      </c>
      <c r="G69" s="1" t="s">
        <v>65</v>
      </c>
      <c r="H69">
        <v>3</v>
      </c>
      <c r="I69" s="5" t="s">
        <v>25</v>
      </c>
      <c r="J69" t="s">
        <v>9</v>
      </c>
      <c r="K69">
        <v>4</v>
      </c>
      <c r="L69">
        <v>4</v>
      </c>
      <c r="M69">
        <v>4</v>
      </c>
      <c r="N69">
        <v>4</v>
      </c>
      <c r="O69">
        <v>3</v>
      </c>
      <c r="P69">
        <v>3</v>
      </c>
      <c r="Q69">
        <v>4</v>
      </c>
      <c r="R69">
        <v>4</v>
      </c>
      <c r="S69">
        <v>3</v>
      </c>
      <c r="T69">
        <v>4</v>
      </c>
      <c r="U69">
        <v>3</v>
      </c>
      <c r="V69">
        <v>3</v>
      </c>
      <c r="W69" s="7" cm="1">
        <f t="array" ref="W69">SUM(OfficeForms.Table[[#This Row],[Gestión del alcance ]:[Gestión de compra ]]/9)</f>
        <v>3.4444444444444446</v>
      </c>
      <c r="X69" s="7">
        <v>3</v>
      </c>
      <c r="Y69" s="7">
        <v>3</v>
      </c>
      <c r="Z69" s="7">
        <v>3</v>
      </c>
      <c r="AA69" s="7">
        <v>3</v>
      </c>
      <c r="AB69" s="7">
        <v>4</v>
      </c>
      <c r="AC69" s="7" cm="1">
        <f t="array" ref="AC69">SUM(OfficeForms.Table[[#This Row],[Personas]:[Relaciones]]/5)</f>
        <v>3.2</v>
      </c>
      <c r="AD69">
        <v>4</v>
      </c>
      <c r="AE69">
        <v>4</v>
      </c>
      <c r="AF69">
        <v>4</v>
      </c>
      <c r="AG69">
        <v>4</v>
      </c>
      <c r="AH69">
        <v>4</v>
      </c>
      <c r="AJ69" cm="1">
        <f t="array" ref="AJ69">SUM(OfficeForms.Table[[#This Row],[Función Estratégica.Proporcionar asesoramiento a la alta dirección]:[Función Estratégica.Supervisar y controlar el desempeño de la propia PMO.]]/5)</f>
        <v>4</v>
      </c>
      <c r="AK69" s="1">
        <v>4</v>
      </c>
      <c r="AL69" s="1">
        <v>4</v>
      </c>
      <c r="AM69" s="1">
        <v>4</v>
      </c>
      <c r="AN69" s="1">
        <v>4</v>
      </c>
      <c r="AO69" s="1">
        <v>4</v>
      </c>
      <c r="AP69" s="7" cm="1">
        <f t="array" ref="AP69">SUM(OfficeForms.Table[[#This Row],[Función Táctica. Desarrollar e implementar una metodología estándar de gestión de proyectos.]:[Función Táctica.  Gestionar la base de datos de riesgos ]]/5)</f>
        <v>4</v>
      </c>
      <c r="AQ69" s="1">
        <v>4</v>
      </c>
      <c r="AR69" s="1">
        <v>4</v>
      </c>
      <c r="AS69" s="1">
        <v>4</v>
      </c>
      <c r="AT69" s="1">
        <v>4</v>
      </c>
      <c r="AU69" s="1">
        <v>4</v>
      </c>
      <c r="AV69" s="7" cm="1">
        <f t="array" ref="AV69">SUM(OfficeForms.Table[[#This Row],[Función Operativa. Informar sobre el estado del proyecto/programa a la alta dirección.]:[Función Operativa. Gestionar documentación  proyecto y positorio de gestión del conocimiento.]]/5)</f>
        <v>4</v>
      </c>
      <c r="BU69"/>
    </row>
    <row r="70" spans="1:73">
      <c r="A70" s="13">
        <v>68</v>
      </c>
      <c r="B70" s="1" t="s">
        <v>75</v>
      </c>
      <c r="C70" s="1" t="s">
        <v>82</v>
      </c>
      <c r="D70" s="1" t="s">
        <v>2</v>
      </c>
      <c r="E70" s="1" t="s">
        <v>58</v>
      </c>
      <c r="F70" s="1" t="s">
        <v>3</v>
      </c>
      <c r="G70" s="1" t="s">
        <v>65</v>
      </c>
      <c r="H70">
        <v>4</v>
      </c>
      <c r="I70" s="5" t="s">
        <v>69</v>
      </c>
      <c r="J70" t="s">
        <v>6</v>
      </c>
      <c r="K70">
        <v>3</v>
      </c>
      <c r="L70">
        <v>4</v>
      </c>
      <c r="M70">
        <v>4</v>
      </c>
      <c r="N70">
        <v>4</v>
      </c>
      <c r="O70">
        <v>3</v>
      </c>
      <c r="P70">
        <v>4</v>
      </c>
      <c r="Q70">
        <v>4</v>
      </c>
      <c r="R70">
        <v>2</v>
      </c>
      <c r="S70">
        <v>2</v>
      </c>
      <c r="T70">
        <v>4</v>
      </c>
      <c r="U70">
        <v>2</v>
      </c>
      <c r="V70">
        <v>5</v>
      </c>
      <c r="W70" s="7" cm="1">
        <f t="array" ref="W70">SUM(OfficeForms.Table[[#This Row],[Gestión del alcance ]:[Gestión de compra ]]/9)</f>
        <v>3.333333333333333</v>
      </c>
      <c r="X70" s="7">
        <v>2</v>
      </c>
      <c r="Y70" s="7">
        <v>2</v>
      </c>
      <c r="Z70" s="7">
        <v>1</v>
      </c>
      <c r="AA70" s="7">
        <v>2</v>
      </c>
      <c r="AB70" s="7">
        <v>1</v>
      </c>
      <c r="AC70" s="7" cm="1">
        <f t="array" ref="AC70">SUM(OfficeForms.Table[[#This Row],[Personas]:[Relaciones]]/5)</f>
        <v>1.5999999999999999</v>
      </c>
      <c r="AD70">
        <v>1</v>
      </c>
      <c r="AE70">
        <v>2</v>
      </c>
      <c r="AF70">
        <v>2</v>
      </c>
      <c r="AG70">
        <v>2</v>
      </c>
      <c r="AH70">
        <v>2</v>
      </c>
      <c r="AJ70" cm="1">
        <f t="array" ref="AJ70">SUM(OfficeForms.Table[[#This Row],[Función Estratégica.Proporcionar asesoramiento a la alta dirección]:[Función Estratégica.Supervisar y controlar el desempeño de la propia PMO.]]/5)</f>
        <v>1.7999999999999998</v>
      </c>
      <c r="AK70" s="1">
        <v>4</v>
      </c>
      <c r="AL70" s="1">
        <v>2</v>
      </c>
      <c r="AM70" s="1">
        <v>2</v>
      </c>
      <c r="AN70" s="1">
        <v>2</v>
      </c>
      <c r="AO70" s="1">
        <v>2</v>
      </c>
      <c r="AP70" s="7" cm="1">
        <f t="array" ref="AP70">SUM(OfficeForms.Table[[#This Row],[Función Táctica. Desarrollar e implementar una metodología estándar de gestión de proyectos.]:[Función Táctica.  Gestionar la base de datos de riesgos ]]/5)</f>
        <v>2.4</v>
      </c>
      <c r="AQ70" s="1">
        <v>2</v>
      </c>
      <c r="AR70" s="1">
        <v>5</v>
      </c>
      <c r="AS70" s="1">
        <v>5</v>
      </c>
      <c r="AT70" s="1">
        <v>2</v>
      </c>
      <c r="AU70" s="1">
        <v>4</v>
      </c>
      <c r="AV70" s="7" cm="1">
        <f t="array" ref="AV70">SUM(OfficeForms.Table[[#This Row],[Función Operativa. Informar sobre el estado del proyecto/programa a la alta dirección.]:[Función Operativa. Gestionar documentación  proyecto y positorio de gestión del conocimiento.]]/5)</f>
        <v>3.5999999999999996</v>
      </c>
      <c r="BU70"/>
    </row>
    <row r="71" spans="1:73">
      <c r="A71" s="13">
        <v>69</v>
      </c>
      <c r="B71" s="1" t="s">
        <v>75</v>
      </c>
      <c r="C71" s="1" t="s">
        <v>80</v>
      </c>
      <c r="D71" s="1" t="s">
        <v>0</v>
      </c>
      <c r="E71" s="1" t="s">
        <v>59</v>
      </c>
      <c r="F71" s="1" t="s">
        <v>62</v>
      </c>
      <c r="G71" s="1" t="s">
        <v>65</v>
      </c>
      <c r="H71">
        <v>2</v>
      </c>
      <c r="I71" s="5" t="s">
        <v>67</v>
      </c>
      <c r="J71" t="s">
        <v>7</v>
      </c>
      <c r="K71">
        <v>3</v>
      </c>
      <c r="L71">
        <v>3</v>
      </c>
      <c r="M71">
        <v>3</v>
      </c>
      <c r="N71">
        <v>3</v>
      </c>
      <c r="O71">
        <v>3</v>
      </c>
      <c r="P71">
        <v>3</v>
      </c>
      <c r="Q71">
        <v>3</v>
      </c>
      <c r="R71">
        <v>3</v>
      </c>
      <c r="S71">
        <v>3</v>
      </c>
      <c r="T71">
        <v>3</v>
      </c>
      <c r="U71">
        <v>3</v>
      </c>
      <c r="V71">
        <v>3</v>
      </c>
      <c r="W71" s="7" cm="1">
        <f t="array" ref="W71">SUM(OfficeForms.Table[[#This Row],[Gestión del alcance ]:[Gestión de compra ]]/9)</f>
        <v>3</v>
      </c>
      <c r="X71" s="7">
        <v>3</v>
      </c>
      <c r="Y71" s="7">
        <v>3</v>
      </c>
      <c r="Z71" s="7">
        <v>3</v>
      </c>
      <c r="AA71" s="7">
        <v>3</v>
      </c>
      <c r="AB71" s="7">
        <v>3</v>
      </c>
      <c r="AC71" s="7" cm="1">
        <f t="array" ref="AC71">SUM(OfficeForms.Table[[#This Row],[Personas]:[Relaciones]]/5)</f>
        <v>3</v>
      </c>
      <c r="AD71">
        <v>3</v>
      </c>
      <c r="AE71">
        <v>3</v>
      </c>
      <c r="AF71">
        <v>3</v>
      </c>
      <c r="AG71">
        <v>3</v>
      </c>
      <c r="AH71">
        <v>3</v>
      </c>
      <c r="AJ71" cm="1">
        <f t="array" ref="AJ71">SUM(OfficeForms.Table[[#This Row],[Función Estratégica.Proporcionar asesoramiento a la alta dirección]:[Función Estratégica.Supervisar y controlar el desempeño de la propia PMO.]]/5)</f>
        <v>3</v>
      </c>
      <c r="AK71" s="1">
        <v>3</v>
      </c>
      <c r="AL71" s="1">
        <v>3</v>
      </c>
      <c r="AM71" s="1">
        <v>3</v>
      </c>
      <c r="AN71" s="1">
        <v>3</v>
      </c>
      <c r="AO71" s="1">
        <v>3</v>
      </c>
      <c r="AP71" s="7" cm="1">
        <f t="array" ref="AP71">SUM(OfficeForms.Table[[#This Row],[Función Táctica. Desarrollar e implementar una metodología estándar de gestión de proyectos.]:[Función Táctica.  Gestionar la base de datos de riesgos ]]/5)</f>
        <v>3</v>
      </c>
      <c r="AQ71" s="1">
        <v>4</v>
      </c>
      <c r="AR71" s="1">
        <v>3</v>
      </c>
      <c r="AS71" s="1">
        <v>4</v>
      </c>
      <c r="AT71" s="1">
        <v>4</v>
      </c>
      <c r="AU71" s="1">
        <v>3</v>
      </c>
      <c r="AV71" s="7" cm="1">
        <f t="array" ref="AV71">SUM(OfficeForms.Table[[#This Row],[Función Operativa. Informar sobre el estado del proyecto/programa a la alta dirección.]:[Función Operativa. Gestionar documentación  proyecto y positorio de gestión del conocimiento.]]/5)</f>
        <v>3.6</v>
      </c>
      <c r="BU71"/>
    </row>
    <row r="72" spans="1:73">
      <c r="A72" s="13">
        <v>70</v>
      </c>
      <c r="B72" s="1" t="s">
        <v>75</v>
      </c>
      <c r="C72" s="1" t="s">
        <v>80</v>
      </c>
      <c r="D72" s="1" t="s">
        <v>2</v>
      </c>
      <c r="E72" s="1" t="s">
        <v>59</v>
      </c>
      <c r="F72" s="1" t="s">
        <v>61</v>
      </c>
      <c r="G72" s="1" t="s">
        <v>65</v>
      </c>
      <c r="H72">
        <v>4</v>
      </c>
      <c r="I72" s="5" t="s">
        <v>69</v>
      </c>
      <c r="J72" t="s">
        <v>4</v>
      </c>
      <c r="K72">
        <v>4</v>
      </c>
      <c r="L72">
        <v>4</v>
      </c>
      <c r="M72">
        <v>4</v>
      </c>
      <c r="N72">
        <v>2</v>
      </c>
      <c r="O72">
        <v>3</v>
      </c>
      <c r="P72">
        <v>3</v>
      </c>
      <c r="Q72">
        <v>2</v>
      </c>
      <c r="R72">
        <v>2</v>
      </c>
      <c r="S72">
        <v>3</v>
      </c>
      <c r="T72">
        <v>2</v>
      </c>
      <c r="U72">
        <v>3</v>
      </c>
      <c r="V72">
        <v>4</v>
      </c>
      <c r="W72" s="7" cm="1">
        <f t="array" ref="W72">SUM(OfficeForms.Table[[#This Row],[Gestión del alcance ]:[Gestión de compra ]]/9)</f>
        <v>2.666666666666667</v>
      </c>
      <c r="X72" s="7">
        <v>1</v>
      </c>
      <c r="Y72" s="7">
        <v>2</v>
      </c>
      <c r="Z72" s="7">
        <v>3</v>
      </c>
      <c r="AA72" s="7">
        <v>4</v>
      </c>
      <c r="AB72" s="7">
        <v>2</v>
      </c>
      <c r="AC72" s="7" cm="1">
        <f t="array" ref="AC72">SUM(OfficeForms.Table[[#This Row],[Personas]:[Relaciones]]/5)</f>
        <v>2.4</v>
      </c>
      <c r="AD72">
        <v>4</v>
      </c>
      <c r="AE72">
        <v>4</v>
      </c>
      <c r="AF72">
        <v>4</v>
      </c>
      <c r="AG72">
        <v>4</v>
      </c>
      <c r="AH72">
        <v>4</v>
      </c>
      <c r="AJ72" cm="1">
        <f t="array" ref="AJ72">SUM(OfficeForms.Table[[#This Row],[Función Estratégica.Proporcionar asesoramiento a la alta dirección]:[Función Estratégica.Supervisar y controlar el desempeño de la propia PMO.]]/5)</f>
        <v>4</v>
      </c>
      <c r="AK72" s="1">
        <v>4</v>
      </c>
      <c r="AL72" s="1">
        <v>4</v>
      </c>
      <c r="AM72" s="1">
        <v>4</v>
      </c>
      <c r="AN72" s="1">
        <v>4</v>
      </c>
      <c r="AO72" s="1">
        <v>4</v>
      </c>
      <c r="AP72" s="7" cm="1">
        <f t="array" ref="AP72">SUM(OfficeForms.Table[[#This Row],[Función Táctica. Desarrollar e implementar una metodología estándar de gestión de proyectos.]:[Función Táctica.  Gestionar la base de datos de riesgos ]]/5)</f>
        <v>4</v>
      </c>
      <c r="AQ72" s="1">
        <v>4</v>
      </c>
      <c r="AR72" s="1">
        <v>4</v>
      </c>
      <c r="AS72" s="1">
        <v>5</v>
      </c>
      <c r="AT72" s="1">
        <v>3</v>
      </c>
      <c r="AU72" s="1">
        <v>3</v>
      </c>
      <c r="AV72" s="7" cm="1">
        <f t="array" ref="AV72">SUM(OfficeForms.Table[[#This Row],[Función Operativa. Informar sobre el estado del proyecto/programa a la alta dirección.]:[Función Operativa. Gestionar documentación  proyecto y positorio de gestión del conocimiento.]]/5)</f>
        <v>3.8000000000000003</v>
      </c>
      <c r="BU72"/>
    </row>
    <row r="73" spans="1:73">
      <c r="A73" s="13">
        <v>71</v>
      </c>
      <c r="B73" s="1" t="s">
        <v>75</v>
      </c>
      <c r="C73" s="1" t="s">
        <v>81</v>
      </c>
      <c r="D73" s="1" t="s">
        <v>2</v>
      </c>
      <c r="E73" s="1" t="s">
        <v>57</v>
      </c>
      <c r="F73" s="1" t="s">
        <v>61</v>
      </c>
      <c r="G73" s="1" t="s">
        <v>66</v>
      </c>
      <c r="H73">
        <v>4</v>
      </c>
      <c r="I73" s="5" t="s">
        <v>68</v>
      </c>
      <c r="J73" t="s">
        <v>16</v>
      </c>
      <c r="K73">
        <v>4</v>
      </c>
      <c r="L73">
        <v>5</v>
      </c>
      <c r="M73">
        <v>5</v>
      </c>
      <c r="N73">
        <v>4</v>
      </c>
      <c r="O73">
        <v>5</v>
      </c>
      <c r="P73">
        <v>5</v>
      </c>
      <c r="Q73">
        <v>5</v>
      </c>
      <c r="R73">
        <v>5</v>
      </c>
      <c r="S73">
        <v>5</v>
      </c>
      <c r="T73">
        <v>5</v>
      </c>
      <c r="U73">
        <v>5</v>
      </c>
      <c r="V73">
        <v>5</v>
      </c>
      <c r="W73" s="7" cm="1">
        <f t="array" ref="W73">SUM(OfficeForms.Table[[#This Row],[Gestión del alcance ]:[Gestión de compra ]]/9)</f>
        <v>4.8888888888888884</v>
      </c>
      <c r="X73" s="7">
        <v>5</v>
      </c>
      <c r="Y73" s="7">
        <v>5</v>
      </c>
      <c r="Z73" s="7">
        <v>5</v>
      </c>
      <c r="AA73" s="7">
        <v>5</v>
      </c>
      <c r="AB73" s="7">
        <v>5</v>
      </c>
      <c r="AC73" s="7" cm="1">
        <f t="array" ref="AC73">SUM(OfficeForms.Table[[#This Row],[Personas]:[Relaciones]]/5)</f>
        <v>5</v>
      </c>
      <c r="AD73">
        <v>4</v>
      </c>
      <c r="AE73">
        <v>4</v>
      </c>
      <c r="AF73">
        <v>4</v>
      </c>
      <c r="AG73">
        <v>4</v>
      </c>
      <c r="AH73">
        <v>4</v>
      </c>
      <c r="AJ73" cm="1">
        <f t="array" ref="AJ73">SUM(OfficeForms.Table[[#This Row],[Función Estratégica.Proporcionar asesoramiento a la alta dirección]:[Función Estratégica.Supervisar y controlar el desempeño de la propia PMO.]]/5)</f>
        <v>4</v>
      </c>
      <c r="AK73" s="1">
        <v>4</v>
      </c>
      <c r="AL73" s="1">
        <v>4</v>
      </c>
      <c r="AM73" s="1">
        <v>4</v>
      </c>
      <c r="AN73" s="1">
        <v>4</v>
      </c>
      <c r="AO73" s="1">
        <v>4</v>
      </c>
      <c r="AP73" s="7" cm="1">
        <f t="array" ref="AP73">SUM(OfficeForms.Table[[#This Row],[Función Táctica. Desarrollar e implementar una metodología estándar de gestión de proyectos.]:[Función Táctica.  Gestionar la base de datos de riesgos ]]/5)</f>
        <v>4</v>
      </c>
      <c r="AQ73" s="1">
        <v>4</v>
      </c>
      <c r="AR73" s="1">
        <v>4</v>
      </c>
      <c r="AS73" s="1">
        <v>4</v>
      </c>
      <c r="AT73" s="1">
        <v>4</v>
      </c>
      <c r="AU73" s="1">
        <v>4</v>
      </c>
      <c r="AV73" s="7" cm="1">
        <f t="array" ref="AV73">SUM(OfficeForms.Table[[#This Row],[Función Operativa. Informar sobre el estado del proyecto/programa a la alta dirección.]:[Función Operativa. Gestionar documentación  proyecto y positorio de gestión del conocimiento.]]/5)</f>
        <v>4</v>
      </c>
      <c r="BU73"/>
    </row>
    <row r="74" spans="1:73">
      <c r="A74" s="13">
        <v>72</v>
      </c>
      <c r="B74" s="10" t="s">
        <v>76</v>
      </c>
      <c r="C74" s="10" t="s">
        <v>79</v>
      </c>
      <c r="D74" s="10" t="s">
        <v>2</v>
      </c>
      <c r="E74" s="10" t="s">
        <v>59</v>
      </c>
      <c r="F74" s="10" t="s">
        <v>61</v>
      </c>
      <c r="G74" s="10" t="s">
        <v>66</v>
      </c>
      <c r="H74" s="9">
        <v>4</v>
      </c>
      <c r="I74" s="11" t="s">
        <v>68</v>
      </c>
      <c r="J74" s="9" t="s">
        <v>4</v>
      </c>
      <c r="K74" s="9">
        <v>4</v>
      </c>
      <c r="L74" s="9">
        <v>4</v>
      </c>
      <c r="M74" s="9">
        <v>4</v>
      </c>
      <c r="N74" s="9">
        <v>4</v>
      </c>
      <c r="O74" s="9">
        <v>4</v>
      </c>
      <c r="P74" s="9">
        <v>4</v>
      </c>
      <c r="Q74" s="9">
        <v>5</v>
      </c>
      <c r="R74" s="9">
        <v>2</v>
      </c>
      <c r="S74" s="9">
        <v>4</v>
      </c>
      <c r="T74" s="9">
        <v>5</v>
      </c>
      <c r="U74" s="9">
        <v>3</v>
      </c>
      <c r="V74" s="9">
        <v>5</v>
      </c>
      <c r="W74" s="12" cm="1">
        <f t="array" ref="W74">SUM(OfficeForms.Table[[#This Row],[Gestión del alcance ]:[Gestión de compra ]]/9)</f>
        <v>4</v>
      </c>
      <c r="X74" s="12">
        <v>5</v>
      </c>
      <c r="Y74" s="12">
        <v>5</v>
      </c>
      <c r="Z74" s="12">
        <v>5</v>
      </c>
      <c r="AA74" s="12">
        <v>5</v>
      </c>
      <c r="AB74" s="12">
        <v>5</v>
      </c>
      <c r="AC74" s="12" cm="1">
        <f t="array" ref="AC74">SUM(OfficeForms.Table[[#This Row],[Personas]:[Relaciones]]/5)</f>
        <v>5</v>
      </c>
      <c r="AD74" s="9">
        <v>4</v>
      </c>
      <c r="AE74" s="9">
        <v>4</v>
      </c>
      <c r="AF74" s="9">
        <v>4</v>
      </c>
      <c r="AG74" s="9">
        <v>4</v>
      </c>
      <c r="AH74" s="9">
        <v>2</v>
      </c>
      <c r="AI74" s="9"/>
      <c r="AJ74" s="9" cm="1">
        <f t="array" ref="AJ74">SUM(OfficeForms.Table[[#This Row],[Función Estratégica.Proporcionar asesoramiento a la alta dirección]:[Función Estratégica.Supervisar y controlar el desempeño de la propia PMO.]]/5)</f>
        <v>3.6</v>
      </c>
      <c r="AK74" s="10">
        <v>4</v>
      </c>
      <c r="AL74" s="10">
        <v>4</v>
      </c>
      <c r="AM74" s="10">
        <v>4</v>
      </c>
      <c r="AN74" s="10">
        <v>4</v>
      </c>
      <c r="AO74" s="10">
        <v>2</v>
      </c>
      <c r="AP74" s="12" cm="1">
        <f t="array" ref="AP74">SUM(OfficeForms.Table[[#This Row],[Función Táctica. Desarrollar e implementar una metodología estándar de gestión de proyectos.]:[Función Táctica.  Gestionar la base de datos de riesgos ]]/5)</f>
        <v>3.6</v>
      </c>
      <c r="AQ74" s="10">
        <v>4</v>
      </c>
      <c r="AR74" s="10">
        <v>4</v>
      </c>
      <c r="AS74" s="10">
        <v>4</v>
      </c>
      <c r="AT74" s="10">
        <v>5</v>
      </c>
      <c r="AU74" s="10">
        <v>4</v>
      </c>
      <c r="AV74" s="12" cm="1">
        <f t="array" ref="AV74">SUM(OfficeForms.Table[[#This Row],[Función Operativa. Informar sobre el estado del proyecto/programa a la alta dirección.]:[Función Operativa. Gestionar documentación  proyecto y positorio de gestión del conocimiento.]]/5)</f>
        <v>4.2</v>
      </c>
      <c r="BU74"/>
    </row>
    <row r="75" spans="1:73">
      <c r="A75" s="13">
        <v>73</v>
      </c>
      <c r="B75" s="1" t="s">
        <v>74</v>
      </c>
      <c r="C75" s="1" t="s">
        <v>80</v>
      </c>
      <c r="D75" s="1" t="s">
        <v>2</v>
      </c>
      <c r="E75" s="1" t="s">
        <v>56</v>
      </c>
      <c r="F75" s="1" t="s">
        <v>3</v>
      </c>
      <c r="G75" s="1" t="s">
        <v>65</v>
      </c>
      <c r="H75">
        <v>3</v>
      </c>
      <c r="I75" s="5" t="s">
        <v>25</v>
      </c>
      <c r="J75" t="s">
        <v>7</v>
      </c>
      <c r="K75">
        <v>4</v>
      </c>
      <c r="L75">
        <v>4</v>
      </c>
      <c r="M75">
        <v>4</v>
      </c>
      <c r="N75">
        <v>4</v>
      </c>
      <c r="O75">
        <v>4</v>
      </c>
      <c r="P75">
        <v>4</v>
      </c>
      <c r="Q75">
        <v>4</v>
      </c>
      <c r="R75">
        <v>4</v>
      </c>
      <c r="S75">
        <v>4</v>
      </c>
      <c r="T75">
        <v>4</v>
      </c>
      <c r="U75">
        <v>4</v>
      </c>
      <c r="V75">
        <v>4</v>
      </c>
      <c r="W75" s="7" cm="1">
        <f t="array" ref="W75">SUM(OfficeForms.Table[[#This Row],[Gestión del alcance ]:[Gestión de compra ]]/9)</f>
        <v>4.0000000000000009</v>
      </c>
      <c r="X75" s="7">
        <v>4</v>
      </c>
      <c r="Y75" s="7">
        <v>4</v>
      </c>
      <c r="Z75" s="7">
        <v>4</v>
      </c>
      <c r="AA75" s="7">
        <v>4</v>
      </c>
      <c r="AB75" s="7">
        <v>4</v>
      </c>
      <c r="AC75" s="7" cm="1">
        <f t="array" ref="AC75">SUM(OfficeForms.Table[[#This Row],[Personas]:[Relaciones]]/5)</f>
        <v>4</v>
      </c>
      <c r="AD75">
        <v>4</v>
      </c>
      <c r="AE75">
        <v>4</v>
      </c>
      <c r="AF75">
        <v>4</v>
      </c>
      <c r="AG75">
        <v>4</v>
      </c>
      <c r="AH75">
        <v>4</v>
      </c>
      <c r="AJ75" cm="1">
        <f t="array" ref="AJ75">SUM(OfficeForms.Table[[#This Row],[Función Estratégica.Proporcionar asesoramiento a la alta dirección]:[Función Estratégica.Supervisar y controlar el desempeño de la propia PMO.]]/5)</f>
        <v>4</v>
      </c>
      <c r="AK75" s="1">
        <v>4</v>
      </c>
      <c r="AL75" s="1">
        <v>4</v>
      </c>
      <c r="AM75" s="1">
        <v>4</v>
      </c>
      <c r="AN75" s="1">
        <v>4</v>
      </c>
      <c r="AO75" s="1">
        <v>4</v>
      </c>
      <c r="AP75" s="7" cm="1">
        <f t="array" ref="AP75">SUM(OfficeForms.Table[[#This Row],[Función Táctica. Desarrollar e implementar una metodología estándar de gestión de proyectos.]:[Función Táctica.  Gestionar la base de datos de riesgos ]]/5)</f>
        <v>4</v>
      </c>
      <c r="AQ75" s="1">
        <v>4</v>
      </c>
      <c r="AR75" s="1">
        <v>4</v>
      </c>
      <c r="AS75" s="1">
        <v>4</v>
      </c>
      <c r="AT75" s="1">
        <v>4</v>
      </c>
      <c r="AU75" s="1">
        <v>4</v>
      </c>
      <c r="AV75" s="7" cm="1">
        <f t="array" ref="AV75">SUM(OfficeForms.Table[[#This Row],[Función Operativa. Informar sobre el estado del proyecto/programa a la alta dirección.]:[Función Operativa. Gestionar documentación  proyecto y positorio de gestión del conocimiento.]]/5)</f>
        <v>4</v>
      </c>
      <c r="BU75"/>
    </row>
    <row r="76" spans="1:73">
      <c r="A76" s="13">
        <v>74</v>
      </c>
      <c r="B76" s="1" t="s">
        <v>75</v>
      </c>
      <c r="C76" s="1" t="s">
        <v>80</v>
      </c>
      <c r="D76" s="1" t="s">
        <v>2</v>
      </c>
      <c r="E76" s="1" t="s">
        <v>59</v>
      </c>
      <c r="F76" s="1" t="s">
        <v>61</v>
      </c>
      <c r="G76" s="1" t="s">
        <v>64</v>
      </c>
      <c r="H76">
        <v>3</v>
      </c>
      <c r="I76" s="5" t="s">
        <v>69</v>
      </c>
      <c r="J76" t="s">
        <v>9</v>
      </c>
      <c r="K76">
        <v>3</v>
      </c>
      <c r="L76">
        <v>3</v>
      </c>
      <c r="M76">
        <v>3</v>
      </c>
      <c r="N76">
        <v>3</v>
      </c>
      <c r="O76">
        <v>3</v>
      </c>
      <c r="P76">
        <v>3</v>
      </c>
      <c r="Q76">
        <v>3</v>
      </c>
      <c r="R76">
        <v>3</v>
      </c>
      <c r="S76">
        <v>3</v>
      </c>
      <c r="T76">
        <v>3</v>
      </c>
      <c r="U76">
        <v>3</v>
      </c>
      <c r="V76">
        <v>4</v>
      </c>
      <c r="W76" s="7" cm="1">
        <f t="array" ref="W76">SUM(OfficeForms.Table[[#This Row],[Gestión del alcance ]:[Gestión de compra ]]/9)</f>
        <v>3.1111111111111107</v>
      </c>
      <c r="X76" s="7">
        <v>3</v>
      </c>
      <c r="Y76" s="7">
        <v>3</v>
      </c>
      <c r="Z76" s="7">
        <v>3</v>
      </c>
      <c r="AA76" s="7">
        <v>3</v>
      </c>
      <c r="AB76" s="7">
        <v>3</v>
      </c>
      <c r="AC76" s="7" cm="1">
        <f t="array" ref="AC76">SUM(OfficeForms.Table[[#This Row],[Personas]:[Relaciones]]/5)</f>
        <v>3</v>
      </c>
      <c r="AD76">
        <v>4</v>
      </c>
      <c r="AE76">
        <v>4</v>
      </c>
      <c r="AF76">
        <v>4</v>
      </c>
      <c r="AG76">
        <v>4</v>
      </c>
      <c r="AH76">
        <v>4</v>
      </c>
      <c r="AJ76" cm="1">
        <f t="array" ref="AJ76">SUM(OfficeForms.Table[[#This Row],[Función Estratégica.Proporcionar asesoramiento a la alta dirección]:[Función Estratégica.Supervisar y controlar el desempeño de la propia PMO.]]/5)</f>
        <v>4</v>
      </c>
      <c r="AK76" s="1">
        <v>5</v>
      </c>
      <c r="AL76" s="1">
        <v>5</v>
      </c>
      <c r="AM76" s="1">
        <v>5</v>
      </c>
      <c r="AN76" s="1">
        <v>5</v>
      </c>
      <c r="AO76" s="1">
        <v>5</v>
      </c>
      <c r="AP76" s="7" cm="1">
        <f t="array" ref="AP76">SUM(OfficeForms.Table[[#This Row],[Función Táctica. Desarrollar e implementar una metodología estándar de gestión de proyectos.]:[Función Táctica.  Gestionar la base de datos de riesgos ]]/5)</f>
        <v>5</v>
      </c>
      <c r="AQ76" s="1">
        <v>2</v>
      </c>
      <c r="AR76" s="1">
        <v>2</v>
      </c>
      <c r="AS76" s="1">
        <v>2</v>
      </c>
      <c r="AT76" s="1">
        <v>2</v>
      </c>
      <c r="AU76" s="1">
        <v>2</v>
      </c>
      <c r="AV76" s="7" cm="1">
        <f t="array" ref="AV76">SUM(OfficeForms.Table[[#This Row],[Función Operativa. Informar sobre el estado del proyecto/programa a la alta dirección.]:[Función Operativa. Gestionar documentación  proyecto y positorio de gestión del conocimiento.]]/5)</f>
        <v>2</v>
      </c>
      <c r="BU76"/>
    </row>
    <row r="77" spans="1:73">
      <c r="A77" s="13">
        <v>75</v>
      </c>
      <c r="B77" s="1" t="s">
        <v>75</v>
      </c>
      <c r="C77" s="1" t="s">
        <v>80</v>
      </c>
      <c r="D77" s="1" t="s">
        <v>0</v>
      </c>
      <c r="E77" s="1" t="s">
        <v>59</v>
      </c>
      <c r="F77" s="1" t="s">
        <v>61</v>
      </c>
      <c r="G77" s="1" t="s">
        <v>66</v>
      </c>
      <c r="H77">
        <v>3</v>
      </c>
      <c r="I77" s="5" t="s">
        <v>68</v>
      </c>
      <c r="J77" t="s">
        <v>12</v>
      </c>
      <c r="K77">
        <v>4</v>
      </c>
      <c r="L77">
        <v>4</v>
      </c>
      <c r="M77">
        <v>4</v>
      </c>
      <c r="N77">
        <v>4</v>
      </c>
      <c r="O77">
        <v>4</v>
      </c>
      <c r="P77">
        <v>4</v>
      </c>
      <c r="Q77">
        <v>4</v>
      </c>
      <c r="R77">
        <v>4</v>
      </c>
      <c r="S77">
        <v>4</v>
      </c>
      <c r="T77">
        <v>4</v>
      </c>
      <c r="U77">
        <v>4</v>
      </c>
      <c r="V77">
        <v>4</v>
      </c>
      <c r="W77" s="7" cm="1">
        <f t="array" ref="W77">SUM(OfficeForms.Table[[#This Row],[Gestión del alcance ]:[Gestión de compra ]]/9)</f>
        <v>4.0000000000000009</v>
      </c>
      <c r="X77" s="7">
        <v>4</v>
      </c>
      <c r="Y77" s="7">
        <v>4</v>
      </c>
      <c r="Z77" s="7">
        <v>4</v>
      </c>
      <c r="AA77" s="7">
        <v>4</v>
      </c>
      <c r="AB77" s="7">
        <v>4</v>
      </c>
      <c r="AC77" s="7" cm="1">
        <f t="array" ref="AC77">SUM(OfficeForms.Table[[#This Row],[Personas]:[Relaciones]]/5)</f>
        <v>4</v>
      </c>
      <c r="AD77">
        <v>4</v>
      </c>
      <c r="AE77">
        <v>4</v>
      </c>
      <c r="AF77">
        <v>4</v>
      </c>
      <c r="AG77">
        <v>4</v>
      </c>
      <c r="AH77">
        <v>4</v>
      </c>
      <c r="AJ77" cm="1">
        <f t="array" ref="AJ77">SUM(OfficeForms.Table[[#This Row],[Función Estratégica.Proporcionar asesoramiento a la alta dirección]:[Función Estratégica.Supervisar y controlar el desempeño de la propia PMO.]]/5)</f>
        <v>4</v>
      </c>
      <c r="AK77" s="1">
        <v>4</v>
      </c>
      <c r="AL77" s="1">
        <v>4</v>
      </c>
      <c r="AM77" s="1">
        <v>4</v>
      </c>
      <c r="AN77" s="1">
        <v>4</v>
      </c>
      <c r="AO77" s="1">
        <v>4</v>
      </c>
      <c r="AP77" s="7" cm="1">
        <f t="array" ref="AP77">SUM(OfficeForms.Table[[#This Row],[Función Táctica. Desarrollar e implementar una metodología estándar de gestión de proyectos.]:[Función Táctica.  Gestionar la base de datos de riesgos ]]/5)</f>
        <v>4</v>
      </c>
      <c r="AQ77" s="1">
        <v>4</v>
      </c>
      <c r="AR77" s="1">
        <v>4</v>
      </c>
      <c r="AS77" s="1">
        <v>4</v>
      </c>
      <c r="AT77" s="1">
        <v>4</v>
      </c>
      <c r="AU77" s="1">
        <v>4</v>
      </c>
      <c r="AV77" s="7" cm="1">
        <f t="array" ref="AV77">SUM(OfficeForms.Table[[#This Row],[Función Operativa. Informar sobre el estado del proyecto/programa a la alta dirección.]:[Función Operativa. Gestionar documentación  proyecto y positorio de gestión del conocimiento.]]/5)</f>
        <v>4</v>
      </c>
      <c r="BU77"/>
    </row>
    <row r="78" spans="1:73">
      <c r="A78" s="13">
        <v>76</v>
      </c>
      <c r="B78" s="1" t="s">
        <v>75</v>
      </c>
      <c r="C78" s="1" t="s">
        <v>80</v>
      </c>
      <c r="D78" s="1" t="s">
        <v>84</v>
      </c>
      <c r="E78" s="1" t="s">
        <v>59</v>
      </c>
      <c r="F78" s="1" t="s">
        <v>3</v>
      </c>
      <c r="G78" s="1" t="s">
        <v>65</v>
      </c>
      <c r="H78">
        <v>3</v>
      </c>
      <c r="I78" s="5" t="s">
        <v>69</v>
      </c>
      <c r="J78" t="s">
        <v>15</v>
      </c>
      <c r="K78">
        <v>3</v>
      </c>
      <c r="L78">
        <v>3</v>
      </c>
      <c r="M78">
        <v>3</v>
      </c>
      <c r="N78">
        <v>3</v>
      </c>
      <c r="O78">
        <v>3</v>
      </c>
      <c r="P78">
        <v>3</v>
      </c>
      <c r="Q78">
        <v>3</v>
      </c>
      <c r="R78">
        <v>3</v>
      </c>
      <c r="S78">
        <v>3</v>
      </c>
      <c r="T78">
        <v>3</v>
      </c>
      <c r="U78">
        <v>3</v>
      </c>
      <c r="V78">
        <v>3</v>
      </c>
      <c r="W78" s="7" cm="1">
        <f t="array" ref="W78">SUM(OfficeForms.Table[[#This Row],[Gestión del alcance ]:[Gestión de compra ]]/9)</f>
        <v>3</v>
      </c>
      <c r="X78" s="7">
        <v>2</v>
      </c>
      <c r="Y78" s="7">
        <v>2</v>
      </c>
      <c r="Z78" s="7">
        <v>2</v>
      </c>
      <c r="AA78" s="7">
        <v>2</v>
      </c>
      <c r="AB78" s="7">
        <v>2</v>
      </c>
      <c r="AC78" s="7" cm="1">
        <f t="array" ref="AC78">SUM(OfficeForms.Table[[#This Row],[Personas]:[Relaciones]]/5)</f>
        <v>2</v>
      </c>
      <c r="AD78">
        <v>2</v>
      </c>
      <c r="AE78">
        <v>2</v>
      </c>
      <c r="AF78">
        <v>2</v>
      </c>
      <c r="AG78">
        <v>2</v>
      </c>
      <c r="AH78">
        <v>2</v>
      </c>
      <c r="AJ78" cm="1">
        <f t="array" ref="AJ78">SUM(OfficeForms.Table[[#This Row],[Función Estratégica.Proporcionar asesoramiento a la alta dirección]:[Función Estratégica.Supervisar y controlar el desempeño de la propia PMO.]]/5)</f>
        <v>2</v>
      </c>
      <c r="AK78" s="1">
        <v>2</v>
      </c>
      <c r="AL78" s="1">
        <v>2</v>
      </c>
      <c r="AM78" s="1">
        <v>2</v>
      </c>
      <c r="AN78" s="1">
        <v>2</v>
      </c>
      <c r="AO78" s="1">
        <v>2</v>
      </c>
      <c r="AP78" s="7" cm="1">
        <f t="array" ref="AP78">SUM(OfficeForms.Table[[#This Row],[Función Táctica. Desarrollar e implementar una metodología estándar de gestión de proyectos.]:[Función Táctica.  Gestionar la base de datos de riesgos ]]/5)</f>
        <v>2</v>
      </c>
      <c r="AQ78" s="1">
        <v>4</v>
      </c>
      <c r="AR78" s="1">
        <v>4</v>
      </c>
      <c r="AS78" s="1">
        <v>4</v>
      </c>
      <c r="AT78" s="1">
        <v>4</v>
      </c>
      <c r="AU78" s="1">
        <v>4</v>
      </c>
      <c r="AV78" s="7" cm="1">
        <f t="array" ref="AV78">SUM(OfficeForms.Table[[#This Row],[Función Operativa. Informar sobre el estado del proyecto/programa a la alta dirección.]:[Función Operativa. Gestionar documentación  proyecto y positorio de gestión del conocimiento.]]/5)</f>
        <v>4</v>
      </c>
      <c r="BU78"/>
    </row>
    <row r="79" spans="1:73">
      <c r="A79" s="13">
        <v>77</v>
      </c>
      <c r="B79" s="1" t="s">
        <v>75</v>
      </c>
      <c r="C79" s="1" t="s">
        <v>81</v>
      </c>
      <c r="D79" s="1" t="s">
        <v>0</v>
      </c>
      <c r="E79" s="1" t="s">
        <v>57</v>
      </c>
      <c r="F79" s="1" t="s">
        <v>61</v>
      </c>
      <c r="G79" s="1" t="s">
        <v>66</v>
      </c>
      <c r="H79">
        <v>3</v>
      </c>
      <c r="I79" s="5" t="s">
        <v>68</v>
      </c>
      <c r="J79" t="s">
        <v>4</v>
      </c>
      <c r="K79">
        <v>5</v>
      </c>
      <c r="L79">
        <v>5</v>
      </c>
      <c r="M79">
        <v>5</v>
      </c>
      <c r="N79">
        <v>4</v>
      </c>
      <c r="O79">
        <v>4</v>
      </c>
      <c r="P79">
        <v>5</v>
      </c>
      <c r="Q79">
        <v>5</v>
      </c>
      <c r="R79">
        <v>5</v>
      </c>
      <c r="S79">
        <v>5</v>
      </c>
      <c r="T79">
        <v>5</v>
      </c>
      <c r="U79">
        <v>5</v>
      </c>
      <c r="V79">
        <v>5</v>
      </c>
      <c r="W79" s="7" cm="1">
        <f t="array" ref="W79">SUM(OfficeForms.Table[[#This Row],[Gestión del alcance ]:[Gestión de compra ]]/9)</f>
        <v>4.7777777777777768</v>
      </c>
      <c r="X79" s="7">
        <v>4</v>
      </c>
      <c r="Y79" s="7">
        <v>4</v>
      </c>
      <c r="Z79" s="7">
        <v>4</v>
      </c>
      <c r="AA79" s="7">
        <v>5</v>
      </c>
      <c r="AB79" s="7">
        <v>5</v>
      </c>
      <c r="AC79" s="7" cm="1">
        <f t="array" ref="AC79">SUM(OfficeForms.Table[[#This Row],[Personas]:[Relaciones]]/5)</f>
        <v>4.4000000000000004</v>
      </c>
      <c r="AD79">
        <v>5</v>
      </c>
      <c r="AE79">
        <v>5</v>
      </c>
      <c r="AF79">
        <v>5</v>
      </c>
      <c r="AG79">
        <v>5</v>
      </c>
      <c r="AH79">
        <v>5</v>
      </c>
      <c r="AJ79" cm="1">
        <f t="array" ref="AJ79">SUM(OfficeForms.Table[[#This Row],[Función Estratégica.Proporcionar asesoramiento a la alta dirección]:[Función Estratégica.Supervisar y controlar el desempeño de la propia PMO.]]/5)</f>
        <v>5</v>
      </c>
      <c r="AK79" s="1">
        <v>4</v>
      </c>
      <c r="AL79" s="1">
        <v>4</v>
      </c>
      <c r="AM79" s="1">
        <v>4</v>
      </c>
      <c r="AN79" s="1">
        <v>5</v>
      </c>
      <c r="AO79" s="1">
        <v>5</v>
      </c>
      <c r="AP79" s="7" cm="1">
        <f t="array" ref="AP79">SUM(OfficeForms.Table[[#This Row],[Función Táctica. Desarrollar e implementar una metodología estándar de gestión de proyectos.]:[Función Táctica.  Gestionar la base de datos de riesgos ]]/5)</f>
        <v>4.4000000000000004</v>
      </c>
      <c r="AQ79" s="1">
        <v>5</v>
      </c>
      <c r="AR79" s="1">
        <v>4</v>
      </c>
      <c r="AS79" s="1">
        <v>4</v>
      </c>
      <c r="AT79" s="1">
        <v>5</v>
      </c>
      <c r="AU79" s="1">
        <v>5</v>
      </c>
      <c r="AV79" s="7" cm="1">
        <f t="array" ref="AV79">SUM(OfficeForms.Table[[#This Row],[Función Operativa. Informar sobre el estado del proyecto/programa a la alta dirección.]:[Función Operativa. Gestionar documentación  proyecto y positorio de gestión del conocimiento.]]/5)</f>
        <v>4.5999999999999996</v>
      </c>
      <c r="BU79"/>
    </row>
    <row r="80" spans="1:73">
      <c r="A80" s="13">
        <v>78</v>
      </c>
      <c r="B80" s="1" t="s">
        <v>75</v>
      </c>
      <c r="C80" s="1" t="s">
        <v>80</v>
      </c>
      <c r="D80" s="1" t="s">
        <v>2</v>
      </c>
      <c r="E80" s="1" t="s">
        <v>56</v>
      </c>
      <c r="F80" s="1" t="s">
        <v>3</v>
      </c>
      <c r="G80" s="1" t="s">
        <v>65</v>
      </c>
      <c r="H80">
        <v>4</v>
      </c>
      <c r="I80" s="5" t="s">
        <v>69</v>
      </c>
      <c r="J80" t="s">
        <v>6</v>
      </c>
      <c r="K80">
        <v>4</v>
      </c>
      <c r="L80">
        <v>5</v>
      </c>
      <c r="M80">
        <v>5</v>
      </c>
      <c r="N80">
        <v>3</v>
      </c>
      <c r="O80">
        <v>4</v>
      </c>
      <c r="P80">
        <v>4</v>
      </c>
      <c r="Q80">
        <v>2</v>
      </c>
      <c r="R80">
        <v>2</v>
      </c>
      <c r="S80">
        <v>3</v>
      </c>
      <c r="T80">
        <v>3</v>
      </c>
      <c r="U80">
        <v>3</v>
      </c>
      <c r="V80">
        <v>3</v>
      </c>
      <c r="W80" s="7" cm="1">
        <f t="array" ref="W80">SUM(OfficeForms.Table[[#This Row],[Gestión del alcance ]:[Gestión de compra ]]/9)</f>
        <v>3</v>
      </c>
      <c r="X80" s="7">
        <v>2</v>
      </c>
      <c r="Y80" s="7">
        <v>4</v>
      </c>
      <c r="Z80" s="7">
        <v>2</v>
      </c>
      <c r="AA80" s="7">
        <v>3</v>
      </c>
      <c r="AB80" s="7">
        <v>4</v>
      </c>
      <c r="AC80" s="7" cm="1">
        <f t="array" ref="AC80">SUM(OfficeForms.Table[[#This Row],[Personas]:[Relaciones]]/5)</f>
        <v>3</v>
      </c>
      <c r="AD80">
        <v>3</v>
      </c>
      <c r="AE80">
        <v>3</v>
      </c>
      <c r="AF80">
        <v>3</v>
      </c>
      <c r="AG80">
        <v>2</v>
      </c>
      <c r="AH80">
        <v>2</v>
      </c>
      <c r="AJ80" cm="1">
        <f t="array" ref="AJ80">SUM(OfficeForms.Table[[#This Row],[Función Estratégica.Proporcionar asesoramiento a la alta dirección]:[Función Estratégica.Supervisar y controlar el desempeño de la propia PMO.]]/5)</f>
        <v>2.5999999999999996</v>
      </c>
      <c r="AK80" s="1">
        <v>3</v>
      </c>
      <c r="AL80" s="1">
        <v>3</v>
      </c>
      <c r="AM80" s="1">
        <v>3</v>
      </c>
      <c r="AN80" s="1">
        <v>2</v>
      </c>
      <c r="AO80" s="1">
        <v>2</v>
      </c>
      <c r="AP80" s="7" cm="1">
        <f t="array" ref="AP80">SUM(OfficeForms.Table[[#This Row],[Función Táctica. Desarrollar e implementar una metodología estándar de gestión de proyectos.]:[Función Táctica.  Gestionar la base de datos de riesgos ]]/5)</f>
        <v>2.5999999999999996</v>
      </c>
      <c r="AQ80" s="1">
        <v>4</v>
      </c>
      <c r="AR80" s="1">
        <v>4</v>
      </c>
      <c r="AS80" s="1">
        <v>5</v>
      </c>
      <c r="AT80" s="1">
        <v>4</v>
      </c>
      <c r="AU80" s="1">
        <v>4</v>
      </c>
      <c r="AV80" s="7" cm="1">
        <f t="array" ref="AV80">SUM(OfficeForms.Table[[#This Row],[Función Operativa. Informar sobre el estado del proyecto/programa a la alta dirección.]:[Función Operativa. Gestionar documentación  proyecto y positorio de gestión del conocimiento.]]/5)</f>
        <v>4.2</v>
      </c>
      <c r="BU80"/>
    </row>
    <row r="81" spans="1:73">
      <c r="A81" s="13">
        <v>79</v>
      </c>
      <c r="B81" s="1" t="s">
        <v>74</v>
      </c>
      <c r="C81" s="1" t="s">
        <v>80</v>
      </c>
      <c r="D81" s="1" t="s">
        <v>2</v>
      </c>
      <c r="E81" s="1" t="s">
        <v>56</v>
      </c>
      <c r="F81" s="1" t="s">
        <v>3</v>
      </c>
      <c r="G81" s="1" t="s">
        <v>64</v>
      </c>
      <c r="H81">
        <v>3</v>
      </c>
      <c r="I81" s="5" t="s">
        <v>25</v>
      </c>
      <c r="J81" t="s">
        <v>4</v>
      </c>
      <c r="K81">
        <v>4</v>
      </c>
      <c r="L81">
        <v>4</v>
      </c>
      <c r="M81">
        <v>4</v>
      </c>
      <c r="N81">
        <v>3</v>
      </c>
      <c r="O81">
        <v>3</v>
      </c>
      <c r="P81">
        <v>3</v>
      </c>
      <c r="Q81">
        <v>3</v>
      </c>
      <c r="R81">
        <v>3</v>
      </c>
      <c r="S81">
        <v>3</v>
      </c>
      <c r="T81">
        <v>3</v>
      </c>
      <c r="U81">
        <v>3</v>
      </c>
      <c r="V81">
        <v>3</v>
      </c>
      <c r="W81" s="7" cm="1">
        <f t="array" ref="W81">SUM(OfficeForms.Table[[#This Row],[Gestión del alcance ]:[Gestión de compra ]]/9)</f>
        <v>3</v>
      </c>
      <c r="X81" s="7">
        <v>3</v>
      </c>
      <c r="Y81" s="7">
        <v>3</v>
      </c>
      <c r="Z81" s="7">
        <v>3</v>
      </c>
      <c r="AA81" s="7">
        <v>3</v>
      </c>
      <c r="AB81" s="7">
        <v>3</v>
      </c>
      <c r="AC81" s="7" cm="1">
        <f t="array" ref="AC81">SUM(OfficeForms.Table[[#This Row],[Personas]:[Relaciones]]/5)</f>
        <v>3</v>
      </c>
      <c r="AD81">
        <v>4</v>
      </c>
      <c r="AE81">
        <v>4</v>
      </c>
      <c r="AF81">
        <v>4</v>
      </c>
      <c r="AG81">
        <v>4</v>
      </c>
      <c r="AH81">
        <v>4</v>
      </c>
      <c r="AJ81" cm="1">
        <f t="array" ref="AJ81">SUM(OfficeForms.Table[[#This Row],[Función Estratégica.Proporcionar asesoramiento a la alta dirección]:[Función Estratégica.Supervisar y controlar el desempeño de la propia PMO.]]/5)</f>
        <v>4</v>
      </c>
      <c r="AK81" s="1">
        <v>4</v>
      </c>
      <c r="AL81" s="1">
        <v>4</v>
      </c>
      <c r="AM81" s="1">
        <v>4</v>
      </c>
      <c r="AN81" s="1">
        <v>4</v>
      </c>
      <c r="AO81" s="1">
        <v>4</v>
      </c>
      <c r="AP81" s="7" cm="1">
        <f t="array" ref="AP81">SUM(OfficeForms.Table[[#This Row],[Función Táctica. Desarrollar e implementar una metodología estándar de gestión de proyectos.]:[Función Táctica.  Gestionar la base de datos de riesgos ]]/5)</f>
        <v>4</v>
      </c>
      <c r="AQ81" s="1">
        <v>4</v>
      </c>
      <c r="AR81" s="1">
        <v>4</v>
      </c>
      <c r="AS81" s="1">
        <v>4</v>
      </c>
      <c r="AT81" s="1">
        <v>4</v>
      </c>
      <c r="AU81" s="1">
        <v>4</v>
      </c>
      <c r="AV81" s="7" cm="1">
        <f t="array" ref="AV81">SUM(OfficeForms.Table[[#This Row],[Función Operativa. Informar sobre el estado del proyecto/programa a la alta dirección.]:[Función Operativa. Gestionar documentación  proyecto y positorio de gestión del conocimiento.]]/5)</f>
        <v>4</v>
      </c>
      <c r="BU81"/>
    </row>
    <row r="82" spans="1:73">
      <c r="A82" s="13">
        <v>80</v>
      </c>
      <c r="B82" s="1" t="s">
        <v>74</v>
      </c>
      <c r="C82" s="1" t="s">
        <v>79</v>
      </c>
      <c r="D82" s="1" t="s">
        <v>0</v>
      </c>
      <c r="E82" s="1" t="s">
        <v>56</v>
      </c>
      <c r="F82" s="1" t="s">
        <v>3</v>
      </c>
      <c r="G82" s="1" t="s">
        <v>64</v>
      </c>
      <c r="H82">
        <v>3</v>
      </c>
      <c r="I82" s="5" t="s">
        <v>68</v>
      </c>
      <c r="J82" t="s">
        <v>1</v>
      </c>
      <c r="K82">
        <v>2</v>
      </c>
      <c r="L82">
        <v>4</v>
      </c>
      <c r="M82">
        <v>4</v>
      </c>
      <c r="N82">
        <v>3</v>
      </c>
      <c r="O82">
        <v>3</v>
      </c>
      <c r="P82">
        <v>3</v>
      </c>
      <c r="Q82">
        <v>3</v>
      </c>
      <c r="R82">
        <v>3</v>
      </c>
      <c r="S82">
        <v>3</v>
      </c>
      <c r="T82">
        <v>3</v>
      </c>
      <c r="U82">
        <v>3</v>
      </c>
      <c r="V82">
        <v>3</v>
      </c>
      <c r="W82" s="7" cm="1">
        <f t="array" ref="W82">SUM(OfficeForms.Table[[#This Row],[Gestión del alcance ]:[Gestión de compra ]]/9)</f>
        <v>3</v>
      </c>
      <c r="X82" s="7">
        <v>1</v>
      </c>
      <c r="Y82" s="7">
        <v>2</v>
      </c>
      <c r="Z82" s="7">
        <v>2</v>
      </c>
      <c r="AA82" s="7">
        <v>3</v>
      </c>
      <c r="AB82" s="7">
        <v>1</v>
      </c>
      <c r="AC82" s="7" cm="1">
        <f t="array" ref="AC82">SUM(OfficeForms.Table[[#This Row],[Personas]:[Relaciones]]/5)</f>
        <v>1.8</v>
      </c>
      <c r="AD82">
        <v>4</v>
      </c>
      <c r="AE82">
        <v>4</v>
      </c>
      <c r="AF82">
        <v>4</v>
      </c>
      <c r="AG82">
        <v>4</v>
      </c>
      <c r="AH82">
        <v>2</v>
      </c>
      <c r="AJ82" cm="1">
        <f t="array" ref="AJ82">SUM(OfficeForms.Table[[#This Row],[Función Estratégica.Proporcionar asesoramiento a la alta dirección]:[Función Estratégica.Supervisar y controlar el desempeño de la propia PMO.]]/5)</f>
        <v>3.6</v>
      </c>
      <c r="AK82" s="1">
        <v>4</v>
      </c>
      <c r="AL82" s="1">
        <v>4</v>
      </c>
      <c r="AM82" s="1">
        <v>4</v>
      </c>
      <c r="AN82" s="1">
        <v>4</v>
      </c>
      <c r="AO82" s="1">
        <v>4</v>
      </c>
      <c r="AP82" s="7" cm="1">
        <f t="array" ref="AP82">SUM(OfficeForms.Table[[#This Row],[Función Táctica. Desarrollar e implementar una metodología estándar de gestión de proyectos.]:[Función Táctica.  Gestionar la base de datos de riesgos ]]/5)</f>
        <v>4</v>
      </c>
      <c r="AQ82" s="1">
        <v>5</v>
      </c>
      <c r="AR82" s="1">
        <v>5</v>
      </c>
      <c r="AS82" s="1">
        <v>5</v>
      </c>
      <c r="AT82" s="1">
        <v>5</v>
      </c>
      <c r="AU82" s="1">
        <v>5</v>
      </c>
      <c r="AV82" s="7" cm="1">
        <f t="array" ref="AV82">SUM(OfficeForms.Table[[#This Row],[Función Operativa. Informar sobre el estado del proyecto/programa a la alta dirección.]:[Función Operativa. Gestionar documentación  proyecto y positorio de gestión del conocimiento.]]/5)</f>
        <v>5</v>
      </c>
      <c r="BU82"/>
    </row>
    <row r="83" spans="1:73">
      <c r="A83" s="13">
        <v>81</v>
      </c>
      <c r="B83" s="1" t="s">
        <v>74</v>
      </c>
      <c r="C83" s="1" t="s">
        <v>80</v>
      </c>
      <c r="D83" s="1" t="s">
        <v>2</v>
      </c>
      <c r="E83" s="1" t="s">
        <v>56</v>
      </c>
      <c r="F83" s="1" t="s">
        <v>62</v>
      </c>
      <c r="G83" s="1" t="s">
        <v>64</v>
      </c>
      <c r="H83">
        <v>3</v>
      </c>
      <c r="I83" s="5" t="s">
        <v>67</v>
      </c>
      <c r="J83" t="s">
        <v>13</v>
      </c>
      <c r="K83">
        <v>4</v>
      </c>
      <c r="L83">
        <v>4</v>
      </c>
      <c r="M83">
        <v>4</v>
      </c>
      <c r="N83">
        <v>4</v>
      </c>
      <c r="O83">
        <v>3</v>
      </c>
      <c r="P83">
        <v>4</v>
      </c>
      <c r="Q83">
        <v>4</v>
      </c>
      <c r="R83">
        <v>3</v>
      </c>
      <c r="S83">
        <v>3</v>
      </c>
      <c r="T83">
        <v>3</v>
      </c>
      <c r="U83">
        <v>3</v>
      </c>
      <c r="V83">
        <v>3</v>
      </c>
      <c r="W83" s="7" cm="1">
        <f t="array" ref="W83">SUM(OfficeForms.Table[[#This Row],[Gestión del alcance ]:[Gestión de compra ]]/9)</f>
        <v>3.3333333333333335</v>
      </c>
      <c r="X83" s="7">
        <v>2</v>
      </c>
      <c r="Y83" s="7">
        <v>2</v>
      </c>
      <c r="Z83" s="7">
        <v>3</v>
      </c>
      <c r="AA83" s="7">
        <v>3</v>
      </c>
      <c r="AB83" s="7">
        <v>3</v>
      </c>
      <c r="AC83" s="7" cm="1">
        <f t="array" ref="AC83">SUM(OfficeForms.Table[[#This Row],[Personas]:[Relaciones]]/5)</f>
        <v>2.6</v>
      </c>
      <c r="AD83">
        <v>4</v>
      </c>
      <c r="AE83">
        <v>4</v>
      </c>
      <c r="AF83">
        <v>4</v>
      </c>
      <c r="AG83">
        <v>4</v>
      </c>
      <c r="AH83">
        <v>4</v>
      </c>
      <c r="AJ83" cm="1">
        <f t="array" ref="AJ83">SUM(OfficeForms.Table[[#This Row],[Función Estratégica.Proporcionar asesoramiento a la alta dirección]:[Función Estratégica.Supervisar y controlar el desempeño de la propia PMO.]]/5)</f>
        <v>4</v>
      </c>
      <c r="AK83" s="1">
        <v>4</v>
      </c>
      <c r="AL83" s="1">
        <v>4</v>
      </c>
      <c r="AM83" s="1">
        <v>4</v>
      </c>
      <c r="AN83" s="1">
        <v>4</v>
      </c>
      <c r="AO83" s="1">
        <v>4</v>
      </c>
      <c r="AP83" s="7" cm="1">
        <f t="array" ref="AP83">SUM(OfficeForms.Table[[#This Row],[Función Táctica. Desarrollar e implementar una metodología estándar de gestión de proyectos.]:[Función Táctica.  Gestionar la base de datos de riesgos ]]/5)</f>
        <v>4</v>
      </c>
      <c r="AQ83" s="1">
        <v>4</v>
      </c>
      <c r="AR83" s="1">
        <v>3</v>
      </c>
      <c r="AS83" s="1">
        <v>3</v>
      </c>
      <c r="AT83" s="1">
        <v>4</v>
      </c>
      <c r="AU83" s="1">
        <v>3</v>
      </c>
      <c r="AV83" s="7" cm="1">
        <f t="array" ref="AV83">SUM(OfficeForms.Table[[#This Row],[Función Operativa. Informar sobre el estado del proyecto/programa a la alta dirección.]:[Función Operativa. Gestionar documentación  proyecto y positorio de gestión del conocimiento.]]/5)</f>
        <v>3.4</v>
      </c>
      <c r="BU83"/>
    </row>
    <row r="84" spans="1:73">
      <c r="A84" s="13">
        <v>82</v>
      </c>
      <c r="B84" s="1" t="s">
        <v>76</v>
      </c>
      <c r="C84" s="1" t="s">
        <v>79</v>
      </c>
      <c r="D84" s="1" t="s">
        <v>0</v>
      </c>
      <c r="E84" s="1" t="s">
        <v>56</v>
      </c>
      <c r="F84" s="1" t="s">
        <v>62</v>
      </c>
      <c r="G84" s="1" t="s">
        <v>64</v>
      </c>
      <c r="H84">
        <v>3</v>
      </c>
      <c r="I84" s="5" t="s">
        <v>25</v>
      </c>
      <c r="J84" t="s">
        <v>7</v>
      </c>
      <c r="K84">
        <v>3</v>
      </c>
      <c r="L84">
        <v>4</v>
      </c>
      <c r="M84">
        <v>4</v>
      </c>
      <c r="N84">
        <v>3</v>
      </c>
      <c r="O84">
        <v>3</v>
      </c>
      <c r="P84">
        <v>3</v>
      </c>
      <c r="Q84">
        <v>4</v>
      </c>
      <c r="R84">
        <v>3</v>
      </c>
      <c r="S84">
        <v>3</v>
      </c>
      <c r="T84">
        <v>3</v>
      </c>
      <c r="U84">
        <v>2</v>
      </c>
      <c r="V84">
        <v>3</v>
      </c>
      <c r="W84" s="7" cm="1">
        <f t="array" ref="W84">SUM(OfficeForms.Table[[#This Row],[Gestión del alcance ]:[Gestión de compra ]]/9)</f>
        <v>3.0000000000000004</v>
      </c>
      <c r="X84" s="7">
        <v>2</v>
      </c>
      <c r="Y84" s="7">
        <v>2</v>
      </c>
      <c r="Z84" s="7">
        <v>3</v>
      </c>
      <c r="AA84" s="7">
        <v>3</v>
      </c>
      <c r="AB84" s="7">
        <v>3</v>
      </c>
      <c r="AC84" s="7" cm="1">
        <f t="array" ref="AC84">SUM(OfficeForms.Table[[#This Row],[Personas]:[Relaciones]]/5)</f>
        <v>2.6</v>
      </c>
      <c r="AD84">
        <v>4</v>
      </c>
      <c r="AE84">
        <v>4</v>
      </c>
      <c r="AF84">
        <v>3</v>
      </c>
      <c r="AG84">
        <v>3</v>
      </c>
      <c r="AH84">
        <v>3</v>
      </c>
      <c r="AJ84" cm="1">
        <f t="array" ref="AJ84">SUM(OfficeForms.Table[[#This Row],[Función Estratégica.Proporcionar asesoramiento a la alta dirección]:[Función Estratégica.Supervisar y controlar el desempeño de la propia PMO.]]/5)</f>
        <v>3.4000000000000004</v>
      </c>
      <c r="AK84" s="1">
        <v>4</v>
      </c>
      <c r="AL84" s="1">
        <v>2</v>
      </c>
      <c r="AM84" s="1">
        <v>2</v>
      </c>
      <c r="AN84" s="1">
        <v>2</v>
      </c>
      <c r="AO84" s="1">
        <v>2</v>
      </c>
      <c r="AP84" s="7" cm="1">
        <f t="array" ref="AP84">SUM(OfficeForms.Table[[#This Row],[Función Táctica. Desarrollar e implementar una metodología estándar de gestión de proyectos.]:[Función Táctica.  Gestionar la base de datos de riesgos ]]/5)</f>
        <v>2.4</v>
      </c>
      <c r="AQ84" s="1">
        <v>4</v>
      </c>
      <c r="AR84" s="1">
        <v>2</v>
      </c>
      <c r="AS84" s="1">
        <v>4</v>
      </c>
      <c r="AT84" s="1">
        <v>4</v>
      </c>
      <c r="AU84" s="1">
        <v>3</v>
      </c>
      <c r="AV84" s="7" cm="1">
        <f t="array" ref="AV84">SUM(OfficeForms.Table[[#This Row],[Función Operativa. Informar sobre el estado del proyecto/programa a la alta dirección.]:[Función Operativa. Gestionar documentación  proyecto y positorio de gestión del conocimiento.]]/5)</f>
        <v>3.4</v>
      </c>
      <c r="BU84"/>
    </row>
    <row r="85" spans="1:73">
      <c r="A85" s="13">
        <v>83</v>
      </c>
      <c r="B85" s="1" t="s">
        <v>74</v>
      </c>
      <c r="C85" s="1" t="s">
        <v>80</v>
      </c>
      <c r="D85" s="1" t="s">
        <v>2</v>
      </c>
      <c r="E85" s="1" t="s">
        <v>56</v>
      </c>
      <c r="F85" s="1" t="s">
        <v>61</v>
      </c>
      <c r="G85" s="1" t="s">
        <v>66</v>
      </c>
      <c r="H85">
        <v>3</v>
      </c>
      <c r="I85" s="5" t="s">
        <v>68</v>
      </c>
      <c r="J85" t="s">
        <v>9</v>
      </c>
      <c r="K85">
        <v>4</v>
      </c>
      <c r="L85">
        <v>4</v>
      </c>
      <c r="M85">
        <v>4</v>
      </c>
      <c r="N85">
        <v>3</v>
      </c>
      <c r="O85">
        <v>3</v>
      </c>
      <c r="P85">
        <v>3</v>
      </c>
      <c r="Q85">
        <v>3</v>
      </c>
      <c r="R85">
        <v>3</v>
      </c>
      <c r="S85">
        <v>3</v>
      </c>
      <c r="T85">
        <v>3</v>
      </c>
      <c r="U85">
        <v>3</v>
      </c>
      <c r="V85">
        <v>3</v>
      </c>
      <c r="W85" s="7" cm="1">
        <f t="array" ref="W85">SUM(OfficeForms.Table[[#This Row],[Gestión del alcance ]:[Gestión de compra ]]/9)</f>
        <v>3</v>
      </c>
      <c r="X85" s="7">
        <v>3</v>
      </c>
      <c r="Y85" s="7">
        <v>2</v>
      </c>
      <c r="Z85" s="7">
        <v>2</v>
      </c>
      <c r="AA85" s="7">
        <v>2</v>
      </c>
      <c r="AB85" s="7">
        <v>3</v>
      </c>
      <c r="AC85" s="7" cm="1">
        <f t="array" ref="AC85">SUM(OfficeForms.Table[[#This Row],[Personas]:[Relaciones]]/5)</f>
        <v>2.4</v>
      </c>
      <c r="AD85">
        <v>5</v>
      </c>
      <c r="AE85">
        <v>5</v>
      </c>
      <c r="AF85">
        <v>5</v>
      </c>
      <c r="AG85">
        <v>2</v>
      </c>
      <c r="AH85">
        <v>2</v>
      </c>
      <c r="AJ85" cm="1">
        <f t="array" ref="AJ85">SUM(OfficeForms.Table[[#This Row],[Función Estratégica.Proporcionar asesoramiento a la alta dirección]:[Función Estratégica.Supervisar y controlar el desempeño de la propia PMO.]]/5)</f>
        <v>3.8</v>
      </c>
      <c r="AK85" s="1">
        <v>3</v>
      </c>
      <c r="AL85" s="1">
        <v>3</v>
      </c>
      <c r="AM85" s="1">
        <v>3</v>
      </c>
      <c r="AN85" s="1">
        <v>3</v>
      </c>
      <c r="AO85" s="1">
        <v>3</v>
      </c>
      <c r="AP85" s="7" cm="1">
        <f t="array" ref="AP85">SUM(OfficeForms.Table[[#This Row],[Función Táctica. Desarrollar e implementar una metodología estándar de gestión de proyectos.]:[Función Táctica.  Gestionar la base de datos de riesgos ]]/5)</f>
        <v>3</v>
      </c>
      <c r="AQ85" s="1">
        <v>4</v>
      </c>
      <c r="AR85" s="1">
        <v>2</v>
      </c>
      <c r="AS85" s="1">
        <v>2</v>
      </c>
      <c r="AT85" s="1">
        <v>5</v>
      </c>
      <c r="AU85" s="1">
        <v>4</v>
      </c>
      <c r="AV85" s="7" cm="1">
        <f t="array" ref="AV85">SUM(OfficeForms.Table[[#This Row],[Función Operativa. Informar sobre el estado del proyecto/programa a la alta dirección.]:[Función Operativa. Gestionar documentación  proyecto y positorio de gestión del conocimiento.]]/5)</f>
        <v>3.4000000000000004</v>
      </c>
      <c r="BU85"/>
    </row>
    <row r="86" spans="1:73">
      <c r="A86" s="13">
        <v>84</v>
      </c>
      <c r="B86" s="1" t="s">
        <v>74</v>
      </c>
      <c r="C86" s="1" t="s">
        <v>79</v>
      </c>
      <c r="D86" s="1" t="s">
        <v>0</v>
      </c>
      <c r="E86" s="1" t="s">
        <v>59</v>
      </c>
      <c r="F86" s="1" t="s">
        <v>62</v>
      </c>
      <c r="G86" s="1" t="s">
        <v>64</v>
      </c>
      <c r="H86">
        <v>3</v>
      </c>
      <c r="I86" s="5" t="s">
        <v>67</v>
      </c>
      <c r="J86" t="s">
        <v>7</v>
      </c>
      <c r="K86">
        <v>4</v>
      </c>
      <c r="L86">
        <v>4</v>
      </c>
      <c r="M86">
        <v>4</v>
      </c>
      <c r="N86">
        <v>4</v>
      </c>
      <c r="O86">
        <v>4</v>
      </c>
      <c r="P86">
        <v>4</v>
      </c>
      <c r="Q86">
        <v>4</v>
      </c>
      <c r="R86">
        <v>4</v>
      </c>
      <c r="S86">
        <v>4</v>
      </c>
      <c r="T86">
        <v>4</v>
      </c>
      <c r="U86">
        <v>4</v>
      </c>
      <c r="V86">
        <v>4</v>
      </c>
      <c r="W86" s="7" cm="1">
        <f t="array" ref="W86">SUM(OfficeForms.Table[[#This Row],[Gestión del alcance ]:[Gestión de compra ]]/9)</f>
        <v>4.0000000000000009</v>
      </c>
      <c r="X86" s="7">
        <v>4</v>
      </c>
      <c r="Y86" s="7">
        <v>4</v>
      </c>
      <c r="Z86" s="7">
        <v>4</v>
      </c>
      <c r="AA86" s="7">
        <v>4</v>
      </c>
      <c r="AB86" s="7">
        <v>4</v>
      </c>
      <c r="AC86" s="7" cm="1">
        <f t="array" ref="AC86">SUM(OfficeForms.Table[[#This Row],[Personas]:[Relaciones]]/5)</f>
        <v>4</v>
      </c>
      <c r="AD86">
        <v>4</v>
      </c>
      <c r="AE86">
        <v>4</v>
      </c>
      <c r="AF86">
        <v>4</v>
      </c>
      <c r="AG86">
        <v>4</v>
      </c>
      <c r="AH86">
        <v>4</v>
      </c>
      <c r="AJ86" cm="1">
        <f t="array" ref="AJ86">SUM(OfficeForms.Table[[#This Row],[Función Estratégica.Proporcionar asesoramiento a la alta dirección]:[Función Estratégica.Supervisar y controlar el desempeño de la propia PMO.]]/5)</f>
        <v>4</v>
      </c>
      <c r="AK86" s="1">
        <v>4</v>
      </c>
      <c r="AL86" s="1">
        <v>4</v>
      </c>
      <c r="AM86" s="1">
        <v>4</v>
      </c>
      <c r="AN86" s="1">
        <v>4</v>
      </c>
      <c r="AO86" s="1">
        <v>4</v>
      </c>
      <c r="AP86" s="7" cm="1">
        <f t="array" ref="AP86">SUM(OfficeForms.Table[[#This Row],[Función Táctica. Desarrollar e implementar una metodología estándar de gestión de proyectos.]:[Función Táctica.  Gestionar la base de datos de riesgos ]]/5)</f>
        <v>4</v>
      </c>
      <c r="AQ86" s="1">
        <v>4</v>
      </c>
      <c r="AR86" s="1">
        <v>4</v>
      </c>
      <c r="AS86" s="1">
        <v>4</v>
      </c>
      <c r="AT86" s="1">
        <v>4</v>
      </c>
      <c r="AU86" s="1">
        <v>4</v>
      </c>
      <c r="AV86" s="7" cm="1">
        <f t="array" ref="AV86">SUM(OfficeForms.Table[[#This Row],[Función Operativa. Informar sobre el estado del proyecto/programa a la alta dirección.]:[Función Operativa. Gestionar documentación  proyecto y positorio de gestión del conocimiento.]]/5)</f>
        <v>4</v>
      </c>
      <c r="BU86"/>
    </row>
    <row r="87" spans="1:73">
      <c r="A87" s="13">
        <v>85</v>
      </c>
      <c r="B87" s="1" t="s">
        <v>75</v>
      </c>
      <c r="C87" s="1" t="s">
        <v>79</v>
      </c>
      <c r="D87" s="1" t="s">
        <v>2</v>
      </c>
      <c r="E87" s="1" t="s">
        <v>59</v>
      </c>
      <c r="F87" s="1" t="s">
        <v>3</v>
      </c>
      <c r="G87" s="1" t="s">
        <v>64</v>
      </c>
      <c r="H87">
        <v>4</v>
      </c>
      <c r="I87" s="5" t="s">
        <v>69</v>
      </c>
      <c r="J87" t="s">
        <v>4</v>
      </c>
      <c r="K87">
        <v>3</v>
      </c>
      <c r="L87">
        <v>3</v>
      </c>
      <c r="M87">
        <v>3</v>
      </c>
      <c r="N87">
        <v>4</v>
      </c>
      <c r="O87">
        <v>3</v>
      </c>
      <c r="P87">
        <v>4</v>
      </c>
      <c r="Q87">
        <v>4</v>
      </c>
      <c r="R87">
        <v>2</v>
      </c>
      <c r="S87">
        <v>3</v>
      </c>
      <c r="T87">
        <v>3</v>
      </c>
      <c r="U87">
        <v>2</v>
      </c>
      <c r="V87">
        <v>2</v>
      </c>
      <c r="W87" s="7" cm="1">
        <f t="array" ref="W87">SUM(OfficeForms.Table[[#This Row],[Gestión del alcance ]:[Gestión de compra ]]/9)</f>
        <v>3.0000000000000004</v>
      </c>
      <c r="X87" s="7">
        <v>3</v>
      </c>
      <c r="Y87" s="7">
        <v>4</v>
      </c>
      <c r="Z87" s="7">
        <v>3</v>
      </c>
      <c r="AA87" s="7">
        <v>4</v>
      </c>
      <c r="AB87" s="7">
        <v>4</v>
      </c>
      <c r="AC87" s="7" cm="1">
        <f t="array" ref="AC87">SUM(OfficeForms.Table[[#This Row],[Personas]:[Relaciones]]/5)</f>
        <v>3.5999999999999996</v>
      </c>
      <c r="AD87">
        <v>4</v>
      </c>
      <c r="AE87">
        <v>4</v>
      </c>
      <c r="AF87">
        <v>4</v>
      </c>
      <c r="AG87">
        <v>3</v>
      </c>
      <c r="AH87">
        <v>2</v>
      </c>
      <c r="AJ87" cm="1">
        <f t="array" ref="AJ87">SUM(OfficeForms.Table[[#This Row],[Función Estratégica.Proporcionar asesoramiento a la alta dirección]:[Función Estratégica.Supervisar y controlar el desempeño de la propia PMO.]]/5)</f>
        <v>3.4000000000000004</v>
      </c>
      <c r="AK87" s="1">
        <v>4</v>
      </c>
      <c r="AL87" s="1">
        <v>4</v>
      </c>
      <c r="AM87" s="1">
        <v>4</v>
      </c>
      <c r="AN87" s="1">
        <v>3</v>
      </c>
      <c r="AO87" s="1">
        <v>3</v>
      </c>
      <c r="AP87" s="7" cm="1">
        <f t="array" ref="AP87">SUM(OfficeForms.Table[[#This Row],[Función Táctica. Desarrollar e implementar una metodología estándar de gestión de proyectos.]:[Función Táctica.  Gestionar la base de datos de riesgos ]]/5)</f>
        <v>3.6000000000000005</v>
      </c>
      <c r="AQ87" s="1">
        <v>5</v>
      </c>
      <c r="AR87" s="1">
        <v>5</v>
      </c>
      <c r="AS87" s="1">
        <v>4</v>
      </c>
      <c r="AT87" s="1">
        <v>5</v>
      </c>
      <c r="AU87" s="1">
        <v>4</v>
      </c>
      <c r="AV87" s="7" cm="1">
        <f t="array" ref="AV87">SUM(OfficeForms.Table[[#This Row],[Función Operativa. Informar sobre el estado del proyecto/programa a la alta dirección.]:[Función Operativa. Gestionar documentación  proyecto y positorio de gestión del conocimiento.]]/5)</f>
        <v>4.5999999999999996</v>
      </c>
      <c r="BU87"/>
    </row>
    <row r="88" spans="1:73">
      <c r="A88" s="13">
        <v>86</v>
      </c>
      <c r="B88" s="1" t="s">
        <v>76</v>
      </c>
      <c r="C88" s="1" t="s">
        <v>79</v>
      </c>
      <c r="D88" s="1" t="s">
        <v>0</v>
      </c>
      <c r="E88" s="1" t="s">
        <v>59</v>
      </c>
      <c r="F88" s="1" t="s">
        <v>61</v>
      </c>
      <c r="G88" s="1" t="s">
        <v>66</v>
      </c>
      <c r="H88">
        <v>4</v>
      </c>
      <c r="I88" s="5" t="s">
        <v>68</v>
      </c>
      <c r="J88" t="s">
        <v>7</v>
      </c>
      <c r="K88">
        <v>5</v>
      </c>
      <c r="L88">
        <v>5</v>
      </c>
      <c r="M88">
        <v>5</v>
      </c>
      <c r="N88">
        <v>4</v>
      </c>
      <c r="O88">
        <v>5</v>
      </c>
      <c r="P88">
        <v>5</v>
      </c>
      <c r="Q88">
        <v>5</v>
      </c>
      <c r="R88">
        <v>5</v>
      </c>
      <c r="S88">
        <v>5</v>
      </c>
      <c r="T88">
        <v>5</v>
      </c>
      <c r="U88">
        <v>5</v>
      </c>
      <c r="V88">
        <v>5</v>
      </c>
      <c r="W88" s="7" cm="1">
        <f t="array" ref="W88">SUM(OfficeForms.Table[[#This Row],[Gestión del alcance ]:[Gestión de compra ]]/9)</f>
        <v>4.8888888888888884</v>
      </c>
      <c r="X88" s="7">
        <v>5</v>
      </c>
      <c r="Y88" s="7">
        <v>5</v>
      </c>
      <c r="Z88" s="7">
        <v>5</v>
      </c>
      <c r="AA88" s="7">
        <v>5</v>
      </c>
      <c r="AB88" s="7">
        <v>5</v>
      </c>
      <c r="AC88" s="7" cm="1">
        <f t="array" ref="AC88">SUM(OfficeForms.Table[[#This Row],[Personas]:[Relaciones]]/5)</f>
        <v>5</v>
      </c>
      <c r="AD88">
        <v>5</v>
      </c>
      <c r="AE88">
        <v>5</v>
      </c>
      <c r="AF88">
        <v>5</v>
      </c>
      <c r="AG88">
        <v>5</v>
      </c>
      <c r="AH88">
        <v>5</v>
      </c>
      <c r="AJ88" cm="1">
        <f t="array" ref="AJ88">SUM(OfficeForms.Table[[#This Row],[Función Estratégica.Proporcionar asesoramiento a la alta dirección]:[Función Estratégica.Supervisar y controlar el desempeño de la propia PMO.]]/5)</f>
        <v>5</v>
      </c>
      <c r="AK88" s="1">
        <v>5</v>
      </c>
      <c r="AL88" s="1">
        <v>5</v>
      </c>
      <c r="AM88" s="1">
        <v>5</v>
      </c>
      <c r="AN88" s="1">
        <v>5</v>
      </c>
      <c r="AO88" s="1">
        <v>5</v>
      </c>
      <c r="AP88" s="7" cm="1">
        <f t="array" ref="AP88">SUM(OfficeForms.Table[[#This Row],[Función Táctica. Desarrollar e implementar una metodología estándar de gestión de proyectos.]:[Función Táctica.  Gestionar la base de datos de riesgos ]]/5)</f>
        <v>5</v>
      </c>
      <c r="AQ88" s="1">
        <v>5</v>
      </c>
      <c r="AR88" s="1">
        <v>5</v>
      </c>
      <c r="AS88" s="1">
        <v>5</v>
      </c>
      <c r="AT88" s="1">
        <v>5</v>
      </c>
      <c r="AU88" s="1">
        <v>5</v>
      </c>
      <c r="AV88" s="7" cm="1">
        <f t="array" ref="AV88">SUM(OfficeForms.Table[[#This Row],[Función Operativa. Informar sobre el estado del proyecto/programa a la alta dirección.]:[Función Operativa. Gestionar documentación  proyecto y positorio de gestión del conocimiento.]]/5)</f>
        <v>5</v>
      </c>
      <c r="BU88"/>
    </row>
    <row r="89" spans="1:73">
      <c r="A89" s="13">
        <v>87</v>
      </c>
      <c r="B89" s="1" t="s">
        <v>75</v>
      </c>
      <c r="C89" s="1" t="s">
        <v>80</v>
      </c>
      <c r="D89" s="1" t="s">
        <v>2</v>
      </c>
      <c r="E89" s="1" t="s">
        <v>56</v>
      </c>
      <c r="F89" s="1" t="s">
        <v>3</v>
      </c>
      <c r="G89" s="1" t="s">
        <v>64</v>
      </c>
      <c r="H89">
        <v>3</v>
      </c>
      <c r="I89" s="5" t="s">
        <v>25</v>
      </c>
      <c r="J89" t="s">
        <v>6</v>
      </c>
      <c r="K89">
        <v>3</v>
      </c>
      <c r="L89">
        <v>3</v>
      </c>
      <c r="M89">
        <v>4</v>
      </c>
      <c r="N89">
        <v>3</v>
      </c>
      <c r="O89">
        <v>3</v>
      </c>
      <c r="P89">
        <v>3</v>
      </c>
      <c r="Q89">
        <v>3</v>
      </c>
      <c r="R89">
        <v>3</v>
      </c>
      <c r="S89">
        <v>3</v>
      </c>
      <c r="T89">
        <v>3</v>
      </c>
      <c r="U89">
        <v>3</v>
      </c>
      <c r="V89">
        <v>3</v>
      </c>
      <c r="W89" s="7" cm="1">
        <f t="array" ref="W89">SUM(OfficeForms.Table[[#This Row],[Gestión del alcance ]:[Gestión de compra ]]/9)</f>
        <v>3</v>
      </c>
      <c r="X89" s="7">
        <v>3</v>
      </c>
      <c r="Y89" s="7">
        <v>3</v>
      </c>
      <c r="Z89" s="7">
        <v>3</v>
      </c>
      <c r="AA89" s="7">
        <v>3</v>
      </c>
      <c r="AB89" s="7">
        <v>3</v>
      </c>
      <c r="AC89" s="7" cm="1">
        <f t="array" ref="AC89">SUM(OfficeForms.Table[[#This Row],[Personas]:[Relaciones]]/5)</f>
        <v>3</v>
      </c>
      <c r="AD89">
        <v>4</v>
      </c>
      <c r="AE89">
        <v>4</v>
      </c>
      <c r="AF89">
        <v>4</v>
      </c>
      <c r="AG89">
        <v>4</v>
      </c>
      <c r="AH89">
        <v>4</v>
      </c>
      <c r="AJ89" cm="1">
        <f t="array" ref="AJ89">SUM(OfficeForms.Table[[#This Row],[Función Estratégica.Proporcionar asesoramiento a la alta dirección]:[Función Estratégica.Supervisar y controlar el desempeño de la propia PMO.]]/5)</f>
        <v>4</v>
      </c>
      <c r="AK89" s="1">
        <v>4</v>
      </c>
      <c r="AL89" s="1">
        <v>4</v>
      </c>
      <c r="AM89" s="1">
        <v>4</v>
      </c>
      <c r="AN89" s="1">
        <v>4</v>
      </c>
      <c r="AO89" s="1">
        <v>4</v>
      </c>
      <c r="AP89" s="7" cm="1">
        <f t="array" ref="AP89">SUM(OfficeForms.Table[[#This Row],[Función Táctica. Desarrollar e implementar una metodología estándar de gestión de proyectos.]:[Función Táctica.  Gestionar la base de datos de riesgos ]]/5)</f>
        <v>4</v>
      </c>
      <c r="AQ89" s="1">
        <v>5</v>
      </c>
      <c r="AR89" s="1">
        <v>5</v>
      </c>
      <c r="AS89" s="1">
        <v>5</v>
      </c>
      <c r="AT89" s="1">
        <v>5</v>
      </c>
      <c r="AU89" s="1">
        <v>5</v>
      </c>
      <c r="AV89" s="7" cm="1">
        <f t="array" ref="AV89">SUM(OfficeForms.Table[[#This Row],[Función Operativa. Informar sobre el estado del proyecto/programa a la alta dirección.]:[Función Operativa. Gestionar documentación  proyecto y positorio de gestión del conocimiento.]]/5)</f>
        <v>5</v>
      </c>
      <c r="BU89"/>
    </row>
    <row r="90" spans="1:73">
      <c r="A90" s="13">
        <v>88</v>
      </c>
      <c r="B90" s="1" t="s">
        <v>74</v>
      </c>
      <c r="C90" s="1" t="s">
        <v>79</v>
      </c>
      <c r="D90" s="1" t="s">
        <v>2</v>
      </c>
      <c r="E90" s="1" t="s">
        <v>59</v>
      </c>
      <c r="F90" s="1" t="s">
        <v>3</v>
      </c>
      <c r="G90" s="1" t="s">
        <v>64</v>
      </c>
      <c r="H90">
        <v>2</v>
      </c>
      <c r="I90" s="5" t="s">
        <v>25</v>
      </c>
      <c r="J90" t="s">
        <v>4</v>
      </c>
      <c r="K90">
        <v>2</v>
      </c>
      <c r="L90">
        <v>2</v>
      </c>
      <c r="M90">
        <v>2</v>
      </c>
      <c r="N90">
        <v>2</v>
      </c>
      <c r="O90">
        <v>1</v>
      </c>
      <c r="P90">
        <v>1</v>
      </c>
      <c r="Q90">
        <v>1</v>
      </c>
      <c r="R90">
        <v>1</v>
      </c>
      <c r="S90">
        <v>2</v>
      </c>
      <c r="T90">
        <v>1</v>
      </c>
      <c r="U90">
        <v>2</v>
      </c>
      <c r="V90">
        <v>2</v>
      </c>
      <c r="W90" s="7" cm="1">
        <f t="array" ref="W90">SUM(OfficeForms.Table[[#This Row],[Gestión del alcance ]:[Gestión de compra ]]/9)</f>
        <v>1.4444444444444446</v>
      </c>
      <c r="X90" s="7">
        <v>0</v>
      </c>
      <c r="Y90" s="7">
        <v>1</v>
      </c>
      <c r="Z90" s="7">
        <v>1</v>
      </c>
      <c r="AA90" s="7">
        <v>0</v>
      </c>
      <c r="AB90" s="7">
        <v>1</v>
      </c>
      <c r="AC90" s="7" cm="1">
        <f t="array" ref="AC90">SUM(OfficeForms.Table[[#This Row],[Personas]:[Relaciones]]/5)</f>
        <v>0.60000000000000009</v>
      </c>
      <c r="AD90">
        <v>2</v>
      </c>
      <c r="AE90">
        <v>2</v>
      </c>
      <c r="AF90">
        <v>1</v>
      </c>
      <c r="AG90">
        <v>1</v>
      </c>
      <c r="AH90">
        <v>1</v>
      </c>
      <c r="AJ90" cm="1">
        <f t="array" ref="AJ90">SUM(OfficeForms.Table[[#This Row],[Función Estratégica.Proporcionar asesoramiento a la alta dirección]:[Función Estratégica.Supervisar y controlar el desempeño de la propia PMO.]]/5)</f>
        <v>1.4</v>
      </c>
      <c r="AK90" s="1">
        <v>2</v>
      </c>
      <c r="AL90" s="1">
        <v>1</v>
      </c>
      <c r="AM90" s="1">
        <v>2</v>
      </c>
      <c r="AN90" s="1">
        <v>1</v>
      </c>
      <c r="AO90" s="1">
        <v>1</v>
      </c>
      <c r="AP90" s="7" cm="1">
        <f t="array" ref="AP90">SUM(OfficeForms.Table[[#This Row],[Función Táctica. Desarrollar e implementar una metodología estándar de gestión de proyectos.]:[Función Táctica.  Gestionar la base de datos de riesgos ]]/5)</f>
        <v>1.4</v>
      </c>
      <c r="AQ90" s="1">
        <v>2</v>
      </c>
      <c r="AR90" s="1">
        <v>1</v>
      </c>
      <c r="AS90" s="1">
        <v>2</v>
      </c>
      <c r="AT90" s="1">
        <v>3</v>
      </c>
      <c r="AU90" s="1">
        <v>2</v>
      </c>
      <c r="AV90" s="7" cm="1">
        <f t="array" ref="AV90">SUM(OfficeForms.Table[[#This Row],[Función Operativa. Informar sobre el estado del proyecto/programa a la alta dirección.]:[Función Operativa. Gestionar documentación  proyecto y positorio de gestión del conocimiento.]]/5)</f>
        <v>2</v>
      </c>
      <c r="BU90"/>
    </row>
    <row r="91" spans="1:73">
      <c r="A91" s="13">
        <v>89</v>
      </c>
      <c r="B91" s="1" t="s">
        <v>75</v>
      </c>
      <c r="C91" s="1" t="s">
        <v>79</v>
      </c>
      <c r="D91" s="1" t="s">
        <v>0</v>
      </c>
      <c r="E91" s="1" t="s">
        <v>59</v>
      </c>
      <c r="F91" s="1" t="s">
        <v>3</v>
      </c>
      <c r="G91" s="1" t="s">
        <v>66</v>
      </c>
      <c r="H91">
        <v>3</v>
      </c>
      <c r="I91" s="5" t="s">
        <v>25</v>
      </c>
      <c r="J91" t="s">
        <v>13</v>
      </c>
      <c r="K91">
        <v>4</v>
      </c>
      <c r="L91">
        <v>4</v>
      </c>
      <c r="M91">
        <v>4</v>
      </c>
      <c r="N91">
        <v>4</v>
      </c>
      <c r="O91">
        <v>3</v>
      </c>
      <c r="P91">
        <v>4</v>
      </c>
      <c r="Q91">
        <v>3</v>
      </c>
      <c r="R91">
        <v>3</v>
      </c>
      <c r="S91">
        <v>4</v>
      </c>
      <c r="T91">
        <v>4</v>
      </c>
      <c r="U91">
        <v>3</v>
      </c>
      <c r="V91">
        <v>4</v>
      </c>
      <c r="W91" s="7" cm="1">
        <f t="array" ref="W91">SUM(OfficeForms.Table[[#This Row],[Gestión del alcance ]:[Gestión de compra ]]/9)</f>
        <v>3.5555555555555554</v>
      </c>
      <c r="X91" s="7">
        <v>3</v>
      </c>
      <c r="Y91" s="7">
        <v>3</v>
      </c>
      <c r="Z91" s="7">
        <v>4</v>
      </c>
      <c r="AA91" s="7">
        <v>4</v>
      </c>
      <c r="AB91" s="7">
        <v>3</v>
      </c>
      <c r="AC91" s="7" cm="1">
        <f t="array" ref="AC91">SUM(OfficeForms.Table[[#This Row],[Personas]:[Relaciones]]/5)</f>
        <v>3.4</v>
      </c>
      <c r="AD91">
        <v>4</v>
      </c>
      <c r="AE91">
        <v>4</v>
      </c>
      <c r="AF91">
        <v>4</v>
      </c>
      <c r="AG91">
        <v>4</v>
      </c>
      <c r="AH91">
        <v>4</v>
      </c>
      <c r="AJ91" cm="1">
        <f t="array" ref="AJ91">SUM(OfficeForms.Table[[#This Row],[Función Estratégica.Proporcionar asesoramiento a la alta dirección]:[Función Estratégica.Supervisar y controlar el desempeño de la propia PMO.]]/5)</f>
        <v>4</v>
      </c>
      <c r="AK91" s="1">
        <v>4</v>
      </c>
      <c r="AL91" s="1">
        <v>4</v>
      </c>
      <c r="AM91" s="1">
        <v>4</v>
      </c>
      <c r="AN91" s="1">
        <v>4</v>
      </c>
      <c r="AO91" s="1">
        <v>4</v>
      </c>
      <c r="AP91" s="7" cm="1">
        <f t="array" ref="AP91">SUM(OfficeForms.Table[[#This Row],[Función Táctica. Desarrollar e implementar una metodología estándar de gestión de proyectos.]:[Función Táctica.  Gestionar la base de datos de riesgos ]]/5)</f>
        <v>4</v>
      </c>
      <c r="AQ91" s="1">
        <v>4</v>
      </c>
      <c r="AR91" s="1">
        <v>4</v>
      </c>
      <c r="AS91" s="1">
        <v>4</v>
      </c>
      <c r="AT91" s="1">
        <v>4</v>
      </c>
      <c r="AU91" s="1">
        <v>4</v>
      </c>
      <c r="AV91" s="7" cm="1">
        <f t="array" ref="AV91">SUM(OfficeForms.Table[[#This Row],[Función Operativa. Informar sobre el estado del proyecto/programa a la alta dirección.]:[Función Operativa. Gestionar documentación  proyecto y positorio de gestión del conocimiento.]]/5)</f>
        <v>4</v>
      </c>
      <c r="BU91"/>
    </row>
    <row r="92" spans="1:73">
      <c r="A92" s="13">
        <v>90</v>
      </c>
      <c r="B92" s="1" t="s">
        <v>74</v>
      </c>
      <c r="C92" s="1" t="s">
        <v>79</v>
      </c>
      <c r="D92" s="1" t="s">
        <v>2</v>
      </c>
      <c r="E92" s="1" t="s">
        <v>59</v>
      </c>
      <c r="F92" s="1" t="s">
        <v>3</v>
      </c>
      <c r="G92" s="1" t="s">
        <v>65</v>
      </c>
      <c r="H92">
        <v>3</v>
      </c>
      <c r="I92" s="5" t="s">
        <v>67</v>
      </c>
      <c r="J92" t="s">
        <v>14</v>
      </c>
      <c r="K92">
        <v>4</v>
      </c>
      <c r="L92">
        <v>4</v>
      </c>
      <c r="M92">
        <v>4</v>
      </c>
      <c r="N92">
        <v>4</v>
      </c>
      <c r="O92">
        <v>3</v>
      </c>
      <c r="P92">
        <v>4</v>
      </c>
      <c r="Q92">
        <v>3</v>
      </c>
      <c r="R92">
        <v>3</v>
      </c>
      <c r="S92">
        <v>4</v>
      </c>
      <c r="T92">
        <v>4</v>
      </c>
      <c r="U92">
        <v>3</v>
      </c>
      <c r="V92">
        <v>4</v>
      </c>
      <c r="W92" s="7" cm="1">
        <f t="array" ref="W92">SUM(OfficeForms.Table[[#This Row],[Gestión del alcance ]:[Gestión de compra ]]/9)</f>
        <v>3.5555555555555554</v>
      </c>
      <c r="X92" s="7">
        <v>3</v>
      </c>
      <c r="Y92" s="7">
        <v>3</v>
      </c>
      <c r="Z92" s="7">
        <v>3</v>
      </c>
      <c r="AA92" s="7"/>
      <c r="AB92" s="7">
        <v>3</v>
      </c>
      <c r="AC92" s="7" cm="1">
        <f t="array" ref="AC92">SUM(OfficeForms.Table[[#This Row],[Personas]:[Relaciones]]/5)</f>
        <v>2.4</v>
      </c>
      <c r="AD92">
        <v>4</v>
      </c>
      <c r="AE92">
        <v>4</v>
      </c>
      <c r="AF92">
        <v>4</v>
      </c>
      <c r="AG92">
        <v>4</v>
      </c>
      <c r="AH92">
        <v>4</v>
      </c>
      <c r="AJ92" cm="1">
        <f t="array" ref="AJ92">SUM(OfficeForms.Table[[#This Row],[Función Estratégica.Proporcionar asesoramiento a la alta dirección]:[Función Estratégica.Supervisar y controlar el desempeño de la propia PMO.]]/5)</f>
        <v>4</v>
      </c>
      <c r="AK92" s="1">
        <v>4</v>
      </c>
      <c r="AL92" s="1">
        <v>4</v>
      </c>
      <c r="AM92" s="1">
        <v>4</v>
      </c>
      <c r="AN92" s="1">
        <v>4</v>
      </c>
      <c r="AO92" s="1">
        <v>4</v>
      </c>
      <c r="AP92" s="7" cm="1">
        <f t="array" ref="AP92">SUM(OfficeForms.Table[[#This Row],[Función Táctica. Desarrollar e implementar una metodología estándar de gestión de proyectos.]:[Función Táctica.  Gestionar la base de datos de riesgos ]]/5)</f>
        <v>4</v>
      </c>
      <c r="AQ92" s="1">
        <v>4</v>
      </c>
      <c r="AR92" s="1">
        <v>4</v>
      </c>
      <c r="AS92" s="1">
        <v>4</v>
      </c>
      <c r="AT92" s="1">
        <v>4</v>
      </c>
      <c r="AU92" s="1">
        <v>4</v>
      </c>
      <c r="AV92" s="7" cm="1">
        <f t="array" ref="AV92">SUM(OfficeForms.Table[[#This Row],[Función Operativa. Informar sobre el estado del proyecto/programa a la alta dirección.]:[Función Operativa. Gestionar documentación  proyecto y positorio de gestión del conocimiento.]]/5)</f>
        <v>4</v>
      </c>
      <c r="BU92"/>
    </row>
    <row r="93" spans="1:73">
      <c r="A93" s="13">
        <v>91</v>
      </c>
      <c r="B93" s="1" t="s">
        <v>75</v>
      </c>
      <c r="C93" s="1" t="s">
        <v>82</v>
      </c>
      <c r="D93" s="1" t="s">
        <v>0</v>
      </c>
      <c r="E93" s="1" t="s">
        <v>58</v>
      </c>
      <c r="F93" s="1" t="s">
        <v>3</v>
      </c>
      <c r="G93" s="1" t="s">
        <v>65</v>
      </c>
      <c r="H93">
        <v>3</v>
      </c>
      <c r="I93" s="5" t="s">
        <v>69</v>
      </c>
      <c r="J93" t="s">
        <v>5</v>
      </c>
      <c r="K93">
        <v>2</v>
      </c>
      <c r="L93">
        <v>4</v>
      </c>
      <c r="M93">
        <v>3</v>
      </c>
      <c r="N93">
        <v>3</v>
      </c>
      <c r="O93">
        <v>3</v>
      </c>
      <c r="P93">
        <v>3</v>
      </c>
      <c r="Q93">
        <v>3</v>
      </c>
      <c r="R93">
        <v>3</v>
      </c>
      <c r="S93">
        <v>3</v>
      </c>
      <c r="T93">
        <v>3</v>
      </c>
      <c r="U93">
        <v>3</v>
      </c>
      <c r="V93">
        <v>3</v>
      </c>
      <c r="W93" s="7" cm="1">
        <f t="array" ref="W93">SUM(OfficeForms.Table[[#This Row],[Gestión del alcance ]:[Gestión de compra ]]/9)</f>
        <v>3</v>
      </c>
      <c r="X93" s="7">
        <v>2</v>
      </c>
      <c r="Y93" s="7">
        <v>2</v>
      </c>
      <c r="Z93" s="7">
        <v>3</v>
      </c>
      <c r="AA93" s="7">
        <v>2</v>
      </c>
      <c r="AB93" s="7">
        <v>3</v>
      </c>
      <c r="AC93" s="7" cm="1">
        <f t="array" ref="AC93">SUM(OfficeForms.Table[[#This Row],[Personas]:[Relaciones]]/5)</f>
        <v>2.4</v>
      </c>
      <c r="AD93">
        <v>2</v>
      </c>
      <c r="AE93">
        <v>4</v>
      </c>
      <c r="AF93">
        <v>4</v>
      </c>
      <c r="AG93">
        <v>4</v>
      </c>
      <c r="AH93">
        <v>5</v>
      </c>
      <c r="AJ93" cm="1">
        <f t="array" ref="AJ93">SUM(OfficeForms.Table[[#This Row],[Función Estratégica.Proporcionar asesoramiento a la alta dirección]:[Función Estratégica.Supervisar y controlar el desempeño de la propia PMO.]]/5)</f>
        <v>3.8</v>
      </c>
      <c r="AK93" s="1">
        <v>2</v>
      </c>
      <c r="AL93" s="1">
        <v>4</v>
      </c>
      <c r="AM93" s="1">
        <v>4</v>
      </c>
      <c r="AN93" s="1">
        <v>2</v>
      </c>
      <c r="AO93" s="1">
        <v>2</v>
      </c>
      <c r="AP93" s="7" cm="1">
        <f t="array" ref="AP93">SUM(OfficeForms.Table[[#This Row],[Función Táctica. Desarrollar e implementar una metodología estándar de gestión de proyectos.]:[Función Táctica.  Gestionar la base de datos de riesgos ]]/5)</f>
        <v>2.8</v>
      </c>
      <c r="AQ93" s="1">
        <v>4</v>
      </c>
      <c r="AR93" s="1">
        <v>4</v>
      </c>
      <c r="AS93" s="1">
        <v>2</v>
      </c>
      <c r="AT93" s="1">
        <v>2</v>
      </c>
      <c r="AU93" s="1">
        <v>4</v>
      </c>
      <c r="AV93" s="7" cm="1">
        <f t="array" ref="AV93">SUM(OfficeForms.Table[[#This Row],[Función Operativa. Informar sobre el estado del proyecto/programa a la alta dirección.]:[Función Operativa. Gestionar documentación  proyecto y positorio de gestión del conocimiento.]]/5)</f>
        <v>3.2</v>
      </c>
      <c r="BU93"/>
    </row>
    <row r="94" spans="1:73">
      <c r="A94" s="13">
        <v>92</v>
      </c>
      <c r="B94" s="1" t="s">
        <v>74</v>
      </c>
      <c r="C94" s="1" t="s">
        <v>79</v>
      </c>
      <c r="D94" s="1" t="s">
        <v>2</v>
      </c>
      <c r="E94" s="1" t="s">
        <v>56</v>
      </c>
      <c r="F94" s="1" t="s">
        <v>62</v>
      </c>
      <c r="G94" s="1" t="s">
        <v>64</v>
      </c>
      <c r="H94">
        <v>3</v>
      </c>
      <c r="I94" s="5" t="s">
        <v>69</v>
      </c>
      <c r="J94" t="s">
        <v>7</v>
      </c>
      <c r="K94">
        <v>3</v>
      </c>
      <c r="L94">
        <v>3</v>
      </c>
      <c r="M94">
        <v>3</v>
      </c>
      <c r="N94">
        <v>4</v>
      </c>
      <c r="O94">
        <v>4</v>
      </c>
      <c r="P94">
        <v>4</v>
      </c>
      <c r="Q94">
        <v>4</v>
      </c>
      <c r="R94">
        <v>4</v>
      </c>
      <c r="S94">
        <v>4</v>
      </c>
      <c r="T94">
        <v>4</v>
      </c>
      <c r="U94">
        <v>4</v>
      </c>
      <c r="V94">
        <v>4</v>
      </c>
      <c r="W94" s="7" cm="1">
        <f t="array" ref="W94">SUM(OfficeForms.Table[[#This Row],[Gestión del alcance ]:[Gestión de compra ]]/9)</f>
        <v>4.0000000000000009</v>
      </c>
      <c r="X94" s="7">
        <v>4</v>
      </c>
      <c r="Y94" s="7">
        <v>4</v>
      </c>
      <c r="Z94" s="7">
        <v>4</v>
      </c>
      <c r="AA94" s="7">
        <v>4</v>
      </c>
      <c r="AB94" s="7">
        <v>4</v>
      </c>
      <c r="AC94" s="7" cm="1">
        <f t="array" ref="AC94">SUM(OfficeForms.Table[[#This Row],[Personas]:[Relaciones]]/5)</f>
        <v>4</v>
      </c>
      <c r="AD94">
        <v>4</v>
      </c>
      <c r="AE94">
        <v>4</v>
      </c>
      <c r="AF94">
        <v>4</v>
      </c>
      <c r="AG94">
        <v>4</v>
      </c>
      <c r="AH94">
        <v>4</v>
      </c>
      <c r="AJ94" cm="1">
        <f t="array" ref="AJ94">SUM(OfficeForms.Table[[#This Row],[Función Estratégica.Proporcionar asesoramiento a la alta dirección]:[Función Estratégica.Supervisar y controlar el desempeño de la propia PMO.]]/5)</f>
        <v>4</v>
      </c>
      <c r="AK94" s="1">
        <v>4</v>
      </c>
      <c r="AL94" s="1">
        <v>4</v>
      </c>
      <c r="AM94" s="1">
        <v>4</v>
      </c>
      <c r="AN94" s="1">
        <v>4</v>
      </c>
      <c r="AO94" s="1">
        <v>4</v>
      </c>
      <c r="AP94" s="7" cm="1">
        <f t="array" ref="AP94">SUM(OfficeForms.Table[[#This Row],[Función Táctica. Desarrollar e implementar una metodología estándar de gestión de proyectos.]:[Función Táctica.  Gestionar la base de datos de riesgos ]]/5)</f>
        <v>4</v>
      </c>
      <c r="AQ94" s="1">
        <v>4</v>
      </c>
      <c r="AR94" s="1">
        <v>4</v>
      </c>
      <c r="AS94" s="1">
        <v>4</v>
      </c>
      <c r="AT94" s="1">
        <v>4</v>
      </c>
      <c r="AU94" s="1">
        <v>4</v>
      </c>
      <c r="AV94" s="7" cm="1">
        <f t="array" ref="AV94">SUM(OfficeForms.Table[[#This Row],[Función Operativa. Informar sobre el estado del proyecto/programa a la alta dirección.]:[Función Operativa. Gestionar documentación  proyecto y positorio de gestión del conocimiento.]]/5)</f>
        <v>4</v>
      </c>
      <c r="BU94"/>
    </row>
    <row r="95" spans="1:73">
      <c r="A95" s="13">
        <v>93</v>
      </c>
      <c r="B95" s="1" t="s">
        <v>75</v>
      </c>
      <c r="C95" s="1" t="s">
        <v>79</v>
      </c>
      <c r="D95" s="1" t="s">
        <v>2</v>
      </c>
      <c r="E95" s="1" t="s">
        <v>59</v>
      </c>
      <c r="F95" s="1" t="s">
        <v>62</v>
      </c>
      <c r="G95" s="1" t="s">
        <v>64</v>
      </c>
      <c r="H95">
        <v>4</v>
      </c>
      <c r="I95" s="5" t="s">
        <v>68</v>
      </c>
      <c r="J95" t="s">
        <v>4</v>
      </c>
      <c r="K95">
        <v>4</v>
      </c>
      <c r="L95">
        <v>4</v>
      </c>
      <c r="M95">
        <v>4</v>
      </c>
      <c r="N95">
        <v>4</v>
      </c>
      <c r="O95">
        <v>4</v>
      </c>
      <c r="P95">
        <v>4</v>
      </c>
      <c r="Q95">
        <v>4</v>
      </c>
      <c r="R95">
        <v>4</v>
      </c>
      <c r="S95">
        <v>4</v>
      </c>
      <c r="T95">
        <v>4</v>
      </c>
      <c r="U95">
        <v>4</v>
      </c>
      <c r="V95">
        <v>4</v>
      </c>
      <c r="W95" s="7" cm="1">
        <f t="array" ref="W95">SUM(OfficeForms.Table[[#This Row],[Gestión del alcance ]:[Gestión de compra ]]/9)</f>
        <v>4.0000000000000009</v>
      </c>
      <c r="X95" s="7">
        <v>4</v>
      </c>
      <c r="Y95" s="7">
        <v>4</v>
      </c>
      <c r="Z95" s="7">
        <v>4</v>
      </c>
      <c r="AA95" s="7">
        <v>4</v>
      </c>
      <c r="AB95" s="7">
        <v>4</v>
      </c>
      <c r="AC95" s="7" cm="1">
        <f t="array" ref="AC95">SUM(OfficeForms.Table[[#This Row],[Personas]:[Relaciones]]/5)</f>
        <v>4</v>
      </c>
      <c r="AD95">
        <v>4</v>
      </c>
      <c r="AE95">
        <v>4</v>
      </c>
      <c r="AF95">
        <v>4</v>
      </c>
      <c r="AG95">
        <v>4</v>
      </c>
      <c r="AH95">
        <v>4</v>
      </c>
      <c r="AJ95" cm="1">
        <f t="array" ref="AJ95">SUM(OfficeForms.Table[[#This Row],[Función Estratégica.Proporcionar asesoramiento a la alta dirección]:[Función Estratégica.Supervisar y controlar el desempeño de la propia PMO.]]/5)</f>
        <v>4</v>
      </c>
      <c r="AK95" s="1">
        <v>4</v>
      </c>
      <c r="AL95" s="1">
        <v>4</v>
      </c>
      <c r="AM95" s="1">
        <v>4</v>
      </c>
      <c r="AN95" s="1">
        <v>4</v>
      </c>
      <c r="AO95" s="1">
        <v>4</v>
      </c>
      <c r="AP95" s="7" cm="1">
        <f t="array" ref="AP95">SUM(OfficeForms.Table[[#This Row],[Función Táctica. Desarrollar e implementar una metodología estándar de gestión de proyectos.]:[Función Táctica.  Gestionar la base de datos de riesgos ]]/5)</f>
        <v>4</v>
      </c>
      <c r="AQ95" s="1">
        <v>4</v>
      </c>
      <c r="AR95" s="1">
        <v>4</v>
      </c>
      <c r="AS95" s="1">
        <v>4</v>
      </c>
      <c r="AT95" s="1">
        <v>4</v>
      </c>
      <c r="AU95" s="1">
        <v>4</v>
      </c>
      <c r="AV95" s="7" cm="1">
        <f t="array" ref="AV95">SUM(OfficeForms.Table[[#This Row],[Función Operativa. Informar sobre el estado del proyecto/programa a la alta dirección.]:[Función Operativa. Gestionar documentación  proyecto y positorio de gestión del conocimiento.]]/5)</f>
        <v>4</v>
      </c>
      <c r="BU95"/>
    </row>
    <row r="96" spans="1:73">
      <c r="A96" s="13">
        <v>94</v>
      </c>
      <c r="B96" s="1" t="s">
        <v>75</v>
      </c>
      <c r="C96" s="1" t="s">
        <v>80</v>
      </c>
      <c r="D96" s="1" t="s">
        <v>2</v>
      </c>
      <c r="E96" s="1" t="s">
        <v>56</v>
      </c>
      <c r="F96" s="1" t="s">
        <v>62</v>
      </c>
      <c r="G96" s="1" t="s">
        <v>65</v>
      </c>
      <c r="H96">
        <v>3</v>
      </c>
      <c r="I96" s="5" t="s">
        <v>69</v>
      </c>
      <c r="J96" t="s">
        <v>4</v>
      </c>
      <c r="K96">
        <v>2</v>
      </c>
      <c r="L96">
        <v>2</v>
      </c>
      <c r="M96">
        <v>5</v>
      </c>
      <c r="N96">
        <v>2</v>
      </c>
      <c r="O96">
        <v>2</v>
      </c>
      <c r="P96">
        <v>2</v>
      </c>
      <c r="Q96">
        <v>2</v>
      </c>
      <c r="R96">
        <v>2</v>
      </c>
      <c r="S96">
        <v>2</v>
      </c>
      <c r="T96">
        <v>2</v>
      </c>
      <c r="U96">
        <v>1</v>
      </c>
      <c r="V96">
        <v>3</v>
      </c>
      <c r="W96" s="7" cm="1">
        <f t="array" ref="W96">SUM(OfficeForms.Table[[#This Row],[Gestión del alcance ]:[Gestión de compra ]]/9)</f>
        <v>2.0000000000000004</v>
      </c>
      <c r="X96" s="7">
        <v>2</v>
      </c>
      <c r="Y96" s="7">
        <v>2</v>
      </c>
      <c r="Z96" s="7">
        <v>1</v>
      </c>
      <c r="AA96" s="7">
        <v>1</v>
      </c>
      <c r="AB96" s="7">
        <v>3</v>
      </c>
      <c r="AC96" s="7" cm="1">
        <f t="array" ref="AC96">SUM(OfficeForms.Table[[#This Row],[Personas]:[Relaciones]]/5)</f>
        <v>1.7999999999999998</v>
      </c>
      <c r="AD96">
        <v>4</v>
      </c>
      <c r="AE96">
        <v>4</v>
      </c>
      <c r="AF96">
        <v>4</v>
      </c>
      <c r="AG96">
        <v>2</v>
      </c>
      <c r="AH96">
        <v>2</v>
      </c>
      <c r="AJ96" cm="1">
        <f t="array" ref="AJ96">SUM(OfficeForms.Table[[#This Row],[Función Estratégica.Proporcionar asesoramiento a la alta dirección]:[Función Estratégica.Supervisar y controlar el desempeño de la propia PMO.]]/5)</f>
        <v>3.2</v>
      </c>
      <c r="AK96" s="1">
        <v>2</v>
      </c>
      <c r="AL96" s="1">
        <v>2</v>
      </c>
      <c r="AM96" s="1">
        <v>2</v>
      </c>
      <c r="AN96" s="1">
        <v>2</v>
      </c>
      <c r="AO96" s="1">
        <v>2</v>
      </c>
      <c r="AP96" s="7" cm="1">
        <f t="array" ref="AP96">SUM(OfficeForms.Table[[#This Row],[Función Táctica. Desarrollar e implementar una metodología estándar de gestión de proyectos.]:[Función Táctica.  Gestionar la base de datos de riesgos ]]/5)</f>
        <v>2</v>
      </c>
      <c r="AQ96" s="1">
        <v>2</v>
      </c>
      <c r="AR96" s="1">
        <v>2</v>
      </c>
      <c r="AS96" s="1">
        <v>2</v>
      </c>
      <c r="AT96" s="1">
        <v>2</v>
      </c>
      <c r="AU96" s="1">
        <v>2</v>
      </c>
      <c r="AV96" s="7" cm="1">
        <f t="array" ref="AV96">SUM(OfficeForms.Table[[#This Row],[Función Operativa. Informar sobre el estado del proyecto/programa a la alta dirección.]:[Función Operativa. Gestionar documentación  proyecto y positorio de gestión del conocimiento.]]/5)</f>
        <v>2</v>
      </c>
      <c r="BU96"/>
    </row>
    <row r="97" spans="1:73">
      <c r="A97" s="13">
        <v>95</v>
      </c>
      <c r="B97" s="1" t="s">
        <v>75</v>
      </c>
      <c r="C97" s="1" t="s">
        <v>79</v>
      </c>
      <c r="D97" s="1" t="s">
        <v>0</v>
      </c>
      <c r="E97" s="1" t="s">
        <v>59</v>
      </c>
      <c r="F97" s="1" t="s">
        <v>62</v>
      </c>
      <c r="G97" s="1" t="s">
        <v>64</v>
      </c>
      <c r="H97">
        <v>3</v>
      </c>
      <c r="I97" s="5" t="s">
        <v>69</v>
      </c>
      <c r="J97" t="s">
        <v>4</v>
      </c>
      <c r="K97">
        <v>4</v>
      </c>
      <c r="L97">
        <v>4</v>
      </c>
      <c r="M97">
        <v>4</v>
      </c>
      <c r="N97">
        <v>3</v>
      </c>
      <c r="O97">
        <v>3</v>
      </c>
      <c r="P97">
        <v>3</v>
      </c>
      <c r="Q97">
        <v>3</v>
      </c>
      <c r="R97">
        <v>3</v>
      </c>
      <c r="S97">
        <v>3</v>
      </c>
      <c r="T97">
        <v>3</v>
      </c>
      <c r="U97">
        <v>3</v>
      </c>
      <c r="V97">
        <v>3</v>
      </c>
      <c r="W97" s="7" cm="1">
        <f t="array" ref="W97">SUM(OfficeForms.Table[[#This Row],[Gestión del alcance ]:[Gestión de compra ]]/9)</f>
        <v>3</v>
      </c>
      <c r="X97" s="7">
        <v>3</v>
      </c>
      <c r="Y97" s="7">
        <v>3</v>
      </c>
      <c r="Z97" s="7">
        <v>3</v>
      </c>
      <c r="AA97" s="7">
        <v>3</v>
      </c>
      <c r="AB97" s="7">
        <v>3</v>
      </c>
      <c r="AC97" s="7" cm="1">
        <f t="array" ref="AC97">SUM(OfficeForms.Table[[#This Row],[Personas]:[Relaciones]]/5)</f>
        <v>3</v>
      </c>
      <c r="AD97">
        <v>4</v>
      </c>
      <c r="AE97">
        <v>4</v>
      </c>
      <c r="AF97">
        <v>4</v>
      </c>
      <c r="AG97">
        <v>3</v>
      </c>
      <c r="AH97">
        <v>3</v>
      </c>
      <c r="AJ97" cm="1">
        <f t="array" ref="AJ97">SUM(OfficeForms.Table[[#This Row],[Función Estratégica.Proporcionar asesoramiento a la alta dirección]:[Función Estratégica.Supervisar y controlar el desempeño de la propia PMO.]]/5)</f>
        <v>3.6000000000000005</v>
      </c>
      <c r="AK97" s="1">
        <v>4</v>
      </c>
      <c r="AL97" s="1">
        <v>2</v>
      </c>
      <c r="AM97" s="1">
        <v>4</v>
      </c>
      <c r="AN97" s="1">
        <v>2</v>
      </c>
      <c r="AO97" s="1">
        <v>2</v>
      </c>
      <c r="AP97" s="7" cm="1">
        <f t="array" ref="AP97">SUM(OfficeForms.Table[[#This Row],[Función Táctica. Desarrollar e implementar una metodología estándar de gestión de proyectos.]:[Función Táctica.  Gestionar la base de datos de riesgos ]]/5)</f>
        <v>2.8</v>
      </c>
      <c r="AQ97" s="1">
        <v>4</v>
      </c>
      <c r="AR97" s="1">
        <v>4</v>
      </c>
      <c r="AS97" s="1">
        <v>3</v>
      </c>
      <c r="AT97" s="1">
        <v>4</v>
      </c>
      <c r="AU97" s="1">
        <v>3</v>
      </c>
      <c r="AV97" s="7" cm="1">
        <f t="array" ref="AV97">SUM(OfficeForms.Table[[#This Row],[Función Operativa. Informar sobre el estado del proyecto/programa a la alta dirección.]:[Función Operativa. Gestionar documentación  proyecto y positorio de gestión del conocimiento.]]/5)</f>
        <v>3.6</v>
      </c>
      <c r="BU97"/>
    </row>
    <row r="98" spans="1:73">
      <c r="A98" s="13">
        <v>96</v>
      </c>
      <c r="B98" s="1" t="s">
        <v>74</v>
      </c>
      <c r="C98" s="1" t="s">
        <v>80</v>
      </c>
      <c r="D98" s="1" t="s">
        <v>2</v>
      </c>
      <c r="E98" s="1" t="s">
        <v>59</v>
      </c>
      <c r="F98" s="1" t="s">
        <v>61</v>
      </c>
      <c r="G98" s="1" t="s">
        <v>66</v>
      </c>
      <c r="H98">
        <v>4</v>
      </c>
      <c r="I98" s="5" t="s">
        <v>70</v>
      </c>
      <c r="J98" t="s">
        <v>13</v>
      </c>
      <c r="K98">
        <v>4</v>
      </c>
      <c r="L98">
        <v>5</v>
      </c>
      <c r="M98">
        <v>5</v>
      </c>
      <c r="N98">
        <v>4</v>
      </c>
      <c r="O98">
        <v>4</v>
      </c>
      <c r="P98">
        <v>4</v>
      </c>
      <c r="Q98">
        <v>4</v>
      </c>
      <c r="R98">
        <v>4</v>
      </c>
      <c r="S98">
        <v>4</v>
      </c>
      <c r="T98">
        <v>4</v>
      </c>
      <c r="U98">
        <v>4</v>
      </c>
      <c r="V98">
        <v>4</v>
      </c>
      <c r="W98" s="7" cm="1">
        <f t="array" ref="W98">SUM(OfficeForms.Table[[#This Row],[Gestión del alcance ]:[Gestión de compra ]]/9)</f>
        <v>4.0000000000000009</v>
      </c>
      <c r="X98" s="7">
        <v>4</v>
      </c>
      <c r="Y98" s="7">
        <v>4</v>
      </c>
      <c r="Z98" s="7">
        <v>4</v>
      </c>
      <c r="AA98" s="7">
        <v>4</v>
      </c>
      <c r="AB98" s="7">
        <v>4</v>
      </c>
      <c r="AC98" s="7" cm="1">
        <f t="array" ref="AC98">SUM(OfficeForms.Table[[#This Row],[Personas]:[Relaciones]]/5)</f>
        <v>4</v>
      </c>
      <c r="AD98">
        <v>5</v>
      </c>
      <c r="AE98">
        <v>5</v>
      </c>
      <c r="AF98">
        <v>4</v>
      </c>
      <c r="AG98">
        <v>4</v>
      </c>
      <c r="AH98">
        <v>4</v>
      </c>
      <c r="AJ98" cm="1">
        <f t="array" ref="AJ98">SUM(OfficeForms.Table[[#This Row],[Función Estratégica.Proporcionar asesoramiento a la alta dirección]:[Función Estratégica.Supervisar y controlar el desempeño de la propia PMO.]]/5)</f>
        <v>4.3999999999999995</v>
      </c>
      <c r="AK98" s="1">
        <v>4</v>
      </c>
      <c r="AL98" s="1">
        <v>4</v>
      </c>
      <c r="AM98" s="1">
        <v>4</v>
      </c>
      <c r="AN98" s="1">
        <v>4</v>
      </c>
      <c r="AO98" s="1">
        <v>4</v>
      </c>
      <c r="AP98" s="7" cm="1">
        <f t="array" ref="AP98">SUM(OfficeForms.Table[[#This Row],[Función Táctica. Desarrollar e implementar una metodología estándar de gestión de proyectos.]:[Función Táctica.  Gestionar la base de datos de riesgos ]]/5)</f>
        <v>4</v>
      </c>
      <c r="AQ98" s="1">
        <v>4</v>
      </c>
      <c r="AR98" s="1">
        <v>4</v>
      </c>
      <c r="AS98" s="1">
        <v>4</v>
      </c>
      <c r="AT98" s="1">
        <v>4</v>
      </c>
      <c r="AU98" s="1">
        <v>4</v>
      </c>
      <c r="AV98" s="7" cm="1">
        <f t="array" ref="AV98">SUM(OfficeForms.Table[[#This Row],[Función Operativa. Informar sobre el estado del proyecto/programa a la alta dirección.]:[Función Operativa. Gestionar documentación  proyecto y positorio de gestión del conocimiento.]]/5)</f>
        <v>4</v>
      </c>
      <c r="BU98"/>
    </row>
    <row r="99" spans="1:73">
      <c r="A99" s="13">
        <v>97</v>
      </c>
      <c r="B99" s="1" t="s">
        <v>74</v>
      </c>
      <c r="C99" s="1" t="s">
        <v>79</v>
      </c>
      <c r="D99" s="1" t="s">
        <v>0</v>
      </c>
      <c r="E99" s="1" t="s">
        <v>56</v>
      </c>
      <c r="F99" s="1" t="s">
        <v>3</v>
      </c>
      <c r="G99" s="1" t="s">
        <v>65</v>
      </c>
      <c r="H99">
        <v>3</v>
      </c>
      <c r="I99" s="5" t="s">
        <v>25</v>
      </c>
      <c r="J99" t="s">
        <v>7</v>
      </c>
      <c r="K99">
        <v>3</v>
      </c>
      <c r="L99">
        <v>3</v>
      </c>
      <c r="M99">
        <v>3</v>
      </c>
      <c r="N99">
        <v>3</v>
      </c>
      <c r="O99">
        <v>3</v>
      </c>
      <c r="P99">
        <v>3</v>
      </c>
      <c r="Q99">
        <v>3</v>
      </c>
      <c r="R99">
        <v>3</v>
      </c>
      <c r="S99">
        <v>3</v>
      </c>
      <c r="T99">
        <v>3</v>
      </c>
      <c r="U99">
        <v>3</v>
      </c>
      <c r="V99">
        <v>3</v>
      </c>
      <c r="W99" s="7" cm="1">
        <f t="array" ref="W99">SUM(OfficeForms.Table[[#This Row],[Gestión del alcance ]:[Gestión de compra ]]/9)</f>
        <v>3</v>
      </c>
      <c r="X99" s="7">
        <v>2</v>
      </c>
      <c r="Y99" s="7">
        <v>2</v>
      </c>
      <c r="Z99" s="7">
        <v>3</v>
      </c>
      <c r="AA99" s="7">
        <v>3</v>
      </c>
      <c r="AB99" s="7">
        <v>3</v>
      </c>
      <c r="AC99" s="7" cm="1">
        <f t="array" ref="AC99">SUM(OfficeForms.Table[[#This Row],[Personas]:[Relaciones]]/5)</f>
        <v>2.6</v>
      </c>
      <c r="AD99">
        <v>3</v>
      </c>
      <c r="AE99">
        <v>3</v>
      </c>
      <c r="AF99">
        <v>3</v>
      </c>
      <c r="AG99">
        <v>3</v>
      </c>
      <c r="AH99">
        <v>3</v>
      </c>
      <c r="AJ99" cm="1">
        <f t="array" ref="AJ99">SUM(OfficeForms.Table[[#This Row],[Función Estratégica.Proporcionar asesoramiento a la alta dirección]:[Función Estratégica.Supervisar y controlar el desempeño de la propia PMO.]]/5)</f>
        <v>3</v>
      </c>
      <c r="AK99" s="1">
        <v>3</v>
      </c>
      <c r="AL99" s="1">
        <v>3</v>
      </c>
      <c r="AM99" s="1">
        <v>3</v>
      </c>
      <c r="AN99" s="1">
        <v>3</v>
      </c>
      <c r="AO99" s="1">
        <v>3</v>
      </c>
      <c r="AP99" s="7" cm="1">
        <f t="array" ref="AP99">SUM(OfficeForms.Table[[#This Row],[Función Táctica. Desarrollar e implementar una metodología estándar de gestión de proyectos.]:[Función Táctica.  Gestionar la base de datos de riesgos ]]/5)</f>
        <v>3</v>
      </c>
      <c r="AQ99" s="1">
        <v>3</v>
      </c>
      <c r="AR99" s="1">
        <v>3</v>
      </c>
      <c r="AS99" s="1">
        <v>3</v>
      </c>
      <c r="AT99" s="1">
        <v>3</v>
      </c>
      <c r="AU99" s="1">
        <v>3</v>
      </c>
      <c r="AV99" s="7" cm="1">
        <f t="array" ref="AV99">SUM(OfficeForms.Table[[#This Row],[Función Operativa. Informar sobre el estado del proyecto/programa a la alta dirección.]:[Función Operativa. Gestionar documentación  proyecto y positorio de gestión del conocimiento.]]/5)</f>
        <v>3</v>
      </c>
      <c r="BU99"/>
    </row>
    <row r="100" spans="1:73">
      <c r="A100" s="13">
        <v>98</v>
      </c>
      <c r="B100" s="1" t="s">
        <v>75</v>
      </c>
      <c r="C100" s="1" t="s">
        <v>80</v>
      </c>
      <c r="D100" s="1" t="s">
        <v>2</v>
      </c>
      <c r="E100" s="1" t="s">
        <v>56</v>
      </c>
      <c r="F100" s="1" t="s">
        <v>3</v>
      </c>
      <c r="G100" s="1" t="s">
        <v>65</v>
      </c>
      <c r="H100">
        <v>3</v>
      </c>
      <c r="I100" s="5" t="s">
        <v>25</v>
      </c>
      <c r="J100" t="s">
        <v>7</v>
      </c>
      <c r="K100">
        <v>4</v>
      </c>
      <c r="L100">
        <v>4</v>
      </c>
      <c r="M100">
        <v>4</v>
      </c>
      <c r="N100">
        <v>3</v>
      </c>
      <c r="O100">
        <v>3</v>
      </c>
      <c r="P100">
        <v>3</v>
      </c>
      <c r="Q100">
        <v>3</v>
      </c>
      <c r="R100">
        <v>3</v>
      </c>
      <c r="S100">
        <v>3</v>
      </c>
      <c r="T100">
        <v>3</v>
      </c>
      <c r="U100">
        <v>3</v>
      </c>
      <c r="V100">
        <v>3</v>
      </c>
      <c r="W100" s="7" cm="1">
        <f t="array" ref="W100">SUM(OfficeForms.Table[[#This Row],[Gestión del alcance ]:[Gestión de compra ]]/9)</f>
        <v>3</v>
      </c>
      <c r="X100" s="7">
        <v>3</v>
      </c>
      <c r="Y100" s="7">
        <v>3</v>
      </c>
      <c r="Z100" s="7">
        <v>3</v>
      </c>
      <c r="AA100" s="7">
        <v>3</v>
      </c>
      <c r="AB100" s="7">
        <v>3</v>
      </c>
      <c r="AC100" s="7" cm="1">
        <f t="array" ref="AC100">SUM(OfficeForms.Table[[#This Row],[Personas]:[Relaciones]]/5)</f>
        <v>3</v>
      </c>
      <c r="AD100">
        <v>4</v>
      </c>
      <c r="AE100">
        <v>4</v>
      </c>
      <c r="AF100">
        <v>4</v>
      </c>
      <c r="AG100">
        <v>4</v>
      </c>
      <c r="AH100">
        <v>4</v>
      </c>
      <c r="AJ100" cm="1">
        <f t="array" ref="AJ100">SUM(OfficeForms.Table[[#This Row],[Función Estratégica.Proporcionar asesoramiento a la alta dirección]:[Función Estratégica.Supervisar y controlar el desempeño de la propia PMO.]]/5)</f>
        <v>4</v>
      </c>
      <c r="AK100" s="1">
        <v>4</v>
      </c>
      <c r="AL100" s="1">
        <v>4</v>
      </c>
      <c r="AM100" s="1">
        <v>4</v>
      </c>
      <c r="AN100" s="1">
        <v>4</v>
      </c>
      <c r="AO100" s="1">
        <v>4</v>
      </c>
      <c r="AP100" s="7" cm="1">
        <f t="array" ref="AP100">SUM(OfficeForms.Table[[#This Row],[Función Táctica. Desarrollar e implementar una metodología estándar de gestión de proyectos.]:[Función Táctica.  Gestionar la base de datos de riesgos ]]/5)</f>
        <v>4</v>
      </c>
      <c r="AQ100" s="1">
        <v>4</v>
      </c>
      <c r="AR100" s="1">
        <v>4</v>
      </c>
      <c r="AS100" s="1">
        <v>4</v>
      </c>
      <c r="AT100" s="1">
        <v>4</v>
      </c>
      <c r="AU100" s="1">
        <v>4</v>
      </c>
      <c r="AV100" s="7" cm="1">
        <f t="array" ref="AV100">SUM(OfficeForms.Table[[#This Row],[Función Operativa. Informar sobre el estado del proyecto/programa a la alta dirección.]:[Función Operativa. Gestionar documentación  proyecto y positorio de gestión del conocimiento.]]/5)</f>
        <v>4</v>
      </c>
      <c r="BU100"/>
    </row>
    <row r="101" spans="1:73">
      <c r="A101" s="13">
        <v>99</v>
      </c>
      <c r="B101" s="1" t="s">
        <v>75</v>
      </c>
      <c r="C101" s="1" t="s">
        <v>80</v>
      </c>
      <c r="D101" s="1" t="s">
        <v>2</v>
      </c>
      <c r="E101" s="1" t="s">
        <v>56</v>
      </c>
      <c r="F101" s="1" t="s">
        <v>3</v>
      </c>
      <c r="G101" s="1" t="s">
        <v>64</v>
      </c>
      <c r="H101">
        <v>3</v>
      </c>
      <c r="I101" s="5" t="s">
        <v>67</v>
      </c>
      <c r="J101" t="s">
        <v>7</v>
      </c>
      <c r="K101">
        <v>3</v>
      </c>
      <c r="L101">
        <v>3</v>
      </c>
      <c r="M101">
        <v>3</v>
      </c>
      <c r="N101">
        <v>3</v>
      </c>
      <c r="O101">
        <v>3</v>
      </c>
      <c r="P101">
        <v>3</v>
      </c>
      <c r="Q101">
        <v>3</v>
      </c>
      <c r="R101">
        <v>3</v>
      </c>
      <c r="S101">
        <v>3</v>
      </c>
      <c r="T101">
        <v>3</v>
      </c>
      <c r="U101">
        <v>3</v>
      </c>
      <c r="V101">
        <v>3</v>
      </c>
      <c r="W101" s="7" cm="1">
        <f t="array" ref="W101">SUM(OfficeForms.Table[[#This Row],[Gestión del alcance ]:[Gestión de compra ]]/9)</f>
        <v>3</v>
      </c>
      <c r="X101" s="7">
        <v>3</v>
      </c>
      <c r="Y101" s="7">
        <v>3</v>
      </c>
      <c r="Z101" s="7">
        <v>3</v>
      </c>
      <c r="AA101" s="7">
        <v>3</v>
      </c>
      <c r="AB101" s="7">
        <v>3</v>
      </c>
      <c r="AC101" s="7" cm="1">
        <f t="array" ref="AC101">SUM(OfficeForms.Table[[#This Row],[Personas]:[Relaciones]]/5)</f>
        <v>3</v>
      </c>
      <c r="AD101">
        <v>3</v>
      </c>
      <c r="AE101">
        <v>3</v>
      </c>
      <c r="AF101">
        <v>3</v>
      </c>
      <c r="AG101">
        <v>3</v>
      </c>
      <c r="AH101">
        <v>3</v>
      </c>
      <c r="AJ101" cm="1">
        <f t="array" ref="AJ101">SUM(OfficeForms.Table[[#This Row],[Función Estratégica.Proporcionar asesoramiento a la alta dirección]:[Función Estratégica.Supervisar y controlar el desempeño de la propia PMO.]]/5)</f>
        <v>3</v>
      </c>
      <c r="AK101" s="1">
        <v>3</v>
      </c>
      <c r="AL101" s="1">
        <v>3</v>
      </c>
      <c r="AM101" s="1">
        <v>3</v>
      </c>
      <c r="AN101" s="1">
        <v>3</v>
      </c>
      <c r="AO101" s="1">
        <v>3</v>
      </c>
      <c r="AP101" s="7" cm="1">
        <f t="array" ref="AP101">SUM(OfficeForms.Table[[#This Row],[Función Táctica. Desarrollar e implementar una metodología estándar de gestión de proyectos.]:[Función Táctica.  Gestionar la base de datos de riesgos ]]/5)</f>
        <v>3</v>
      </c>
      <c r="AQ101" s="1">
        <v>3</v>
      </c>
      <c r="AR101" s="1">
        <v>3</v>
      </c>
      <c r="AS101" s="1">
        <v>3</v>
      </c>
      <c r="AT101" s="1">
        <v>3</v>
      </c>
      <c r="AU101" s="1">
        <v>3</v>
      </c>
      <c r="AV101" s="7" cm="1">
        <f t="array" ref="AV101">SUM(OfficeForms.Table[[#This Row],[Función Operativa. Informar sobre el estado del proyecto/programa a la alta dirección.]:[Función Operativa. Gestionar documentación  proyecto y positorio de gestión del conocimiento.]]/5)</f>
        <v>3</v>
      </c>
      <c r="BU101"/>
    </row>
    <row r="102" spans="1:73">
      <c r="A102" s="13">
        <v>100</v>
      </c>
      <c r="B102" s="1" t="s">
        <v>75</v>
      </c>
      <c r="C102" s="1" t="s">
        <v>79</v>
      </c>
      <c r="D102" s="1" t="s">
        <v>2</v>
      </c>
      <c r="E102" s="1" t="s">
        <v>56</v>
      </c>
      <c r="F102" s="1" t="s">
        <v>3</v>
      </c>
      <c r="G102" s="1" t="s">
        <v>65</v>
      </c>
      <c r="H102">
        <v>3</v>
      </c>
      <c r="I102" s="5" t="s">
        <v>25</v>
      </c>
      <c r="J102" t="s">
        <v>14</v>
      </c>
      <c r="K102">
        <v>3</v>
      </c>
      <c r="L102">
        <v>3</v>
      </c>
      <c r="M102">
        <v>4</v>
      </c>
      <c r="N102">
        <v>3</v>
      </c>
      <c r="O102">
        <v>3</v>
      </c>
      <c r="P102">
        <v>3</v>
      </c>
      <c r="Q102">
        <v>3</v>
      </c>
      <c r="R102">
        <v>3</v>
      </c>
      <c r="S102">
        <v>3</v>
      </c>
      <c r="T102">
        <v>3</v>
      </c>
      <c r="U102">
        <v>3</v>
      </c>
      <c r="V102">
        <v>3</v>
      </c>
      <c r="W102" s="7" cm="1">
        <f t="array" ref="W102">SUM(OfficeForms.Table[[#This Row],[Gestión del alcance ]:[Gestión de compra ]]/9)</f>
        <v>3</v>
      </c>
      <c r="X102" s="7">
        <v>3</v>
      </c>
      <c r="Y102" s="7">
        <v>3</v>
      </c>
      <c r="Z102" s="7">
        <v>3</v>
      </c>
      <c r="AA102" s="7">
        <v>3</v>
      </c>
      <c r="AB102" s="7">
        <v>3</v>
      </c>
      <c r="AC102" s="7" cm="1">
        <f t="array" ref="AC102">SUM(OfficeForms.Table[[#This Row],[Personas]:[Relaciones]]/5)</f>
        <v>3</v>
      </c>
      <c r="AD102">
        <v>4</v>
      </c>
      <c r="AE102">
        <v>4</v>
      </c>
      <c r="AF102">
        <v>3</v>
      </c>
      <c r="AG102">
        <v>3</v>
      </c>
      <c r="AH102">
        <v>3</v>
      </c>
      <c r="AJ102" cm="1">
        <f t="array" ref="AJ102">SUM(OfficeForms.Table[[#This Row],[Función Estratégica.Proporcionar asesoramiento a la alta dirección]:[Función Estratégica.Supervisar y controlar el desempeño de la propia PMO.]]/5)</f>
        <v>3.4000000000000004</v>
      </c>
      <c r="AK102" s="1">
        <v>3</v>
      </c>
      <c r="AL102" s="1">
        <v>3</v>
      </c>
      <c r="AM102" s="1">
        <v>3</v>
      </c>
      <c r="AN102" s="1">
        <v>3</v>
      </c>
      <c r="AO102" s="1">
        <v>3</v>
      </c>
      <c r="AP102" s="7" cm="1">
        <f t="array" ref="AP102">SUM(OfficeForms.Table[[#This Row],[Función Táctica. Desarrollar e implementar una metodología estándar de gestión de proyectos.]:[Función Táctica.  Gestionar la base de datos de riesgos ]]/5)</f>
        <v>3</v>
      </c>
      <c r="AQ102" s="1">
        <v>3</v>
      </c>
      <c r="AR102" s="1">
        <v>3</v>
      </c>
      <c r="AS102" s="1">
        <v>3</v>
      </c>
      <c r="AT102" s="1">
        <v>3</v>
      </c>
      <c r="AU102" s="1">
        <v>3</v>
      </c>
      <c r="AV102" s="7" cm="1">
        <f t="array" ref="AV102">SUM(OfficeForms.Table[[#This Row],[Función Operativa. Informar sobre el estado del proyecto/programa a la alta dirección.]:[Función Operativa. Gestionar documentación  proyecto y positorio de gestión del conocimiento.]]/5)</f>
        <v>3</v>
      </c>
      <c r="BU102"/>
    </row>
    <row r="103" spans="1:73">
      <c r="A103" s="13">
        <v>101</v>
      </c>
      <c r="B103" s="1" t="s">
        <v>74</v>
      </c>
      <c r="C103" s="1" t="s">
        <v>82</v>
      </c>
      <c r="D103" s="1" t="s">
        <v>2</v>
      </c>
      <c r="E103" s="1" t="s">
        <v>59</v>
      </c>
      <c r="F103" s="1" t="s">
        <v>62</v>
      </c>
      <c r="G103" s="1" t="s">
        <v>65</v>
      </c>
      <c r="H103">
        <v>3</v>
      </c>
      <c r="I103" s="5" t="s">
        <v>69</v>
      </c>
      <c r="J103" t="s">
        <v>4</v>
      </c>
      <c r="K103">
        <v>3</v>
      </c>
      <c r="L103">
        <v>4</v>
      </c>
      <c r="M103">
        <v>4</v>
      </c>
      <c r="N103">
        <v>3</v>
      </c>
      <c r="O103">
        <v>3</v>
      </c>
      <c r="P103">
        <v>3</v>
      </c>
      <c r="Q103">
        <v>3</v>
      </c>
      <c r="R103">
        <v>3</v>
      </c>
      <c r="S103">
        <v>3</v>
      </c>
      <c r="T103">
        <v>3</v>
      </c>
      <c r="U103">
        <v>3</v>
      </c>
      <c r="V103">
        <v>3</v>
      </c>
      <c r="W103" s="7" cm="1">
        <f t="array" ref="W103">SUM(OfficeForms.Table[[#This Row],[Gestión del alcance ]:[Gestión de compra ]]/9)</f>
        <v>3</v>
      </c>
      <c r="X103" s="7">
        <v>3</v>
      </c>
      <c r="Y103" s="7">
        <v>3</v>
      </c>
      <c r="Z103" s="7">
        <v>3</v>
      </c>
      <c r="AA103" s="7">
        <v>3</v>
      </c>
      <c r="AB103" s="7">
        <v>3</v>
      </c>
      <c r="AC103" s="7" cm="1">
        <f t="array" ref="AC103">SUM(OfficeForms.Table[[#This Row],[Personas]:[Relaciones]]/5)</f>
        <v>3</v>
      </c>
      <c r="AD103">
        <v>3</v>
      </c>
      <c r="AE103">
        <v>3</v>
      </c>
      <c r="AF103">
        <v>3</v>
      </c>
      <c r="AG103">
        <v>3</v>
      </c>
      <c r="AH103">
        <v>2</v>
      </c>
      <c r="AJ103" cm="1">
        <f t="array" ref="AJ103">SUM(OfficeForms.Table[[#This Row],[Función Estratégica.Proporcionar asesoramiento a la alta dirección]:[Función Estratégica.Supervisar y controlar el desempeño de la propia PMO.]]/5)</f>
        <v>2.8</v>
      </c>
      <c r="AK103" s="1">
        <v>4</v>
      </c>
      <c r="AL103" s="1">
        <v>4</v>
      </c>
      <c r="AM103" s="1">
        <v>4</v>
      </c>
      <c r="AN103" s="1">
        <v>4</v>
      </c>
      <c r="AO103" s="1">
        <v>4</v>
      </c>
      <c r="AP103" s="7" cm="1">
        <f t="array" ref="AP103">SUM(OfficeForms.Table[[#This Row],[Función Táctica. Desarrollar e implementar una metodología estándar de gestión de proyectos.]:[Función Táctica.  Gestionar la base de datos de riesgos ]]/5)</f>
        <v>4</v>
      </c>
      <c r="AQ103" s="1">
        <v>4</v>
      </c>
      <c r="AR103" s="1">
        <v>4</v>
      </c>
      <c r="AS103" s="1">
        <v>4</v>
      </c>
      <c r="AT103" s="1">
        <v>4</v>
      </c>
      <c r="AU103" s="1">
        <v>4</v>
      </c>
      <c r="AV103" s="7" cm="1">
        <f t="array" ref="AV103">SUM(OfficeForms.Table[[#This Row],[Función Operativa. Informar sobre el estado del proyecto/programa a la alta dirección.]:[Función Operativa. Gestionar documentación  proyecto y positorio de gestión del conocimiento.]]/5)</f>
        <v>4</v>
      </c>
      <c r="BU103"/>
    </row>
    <row r="104" spans="1:73">
      <c r="A104" s="13">
        <v>102</v>
      </c>
      <c r="B104" s="1" t="s">
        <v>77</v>
      </c>
      <c r="C104" s="1" t="s">
        <v>80</v>
      </c>
      <c r="D104" s="1" t="s">
        <v>84</v>
      </c>
      <c r="E104" s="1" t="s">
        <v>58</v>
      </c>
      <c r="F104" s="1" t="s">
        <v>62</v>
      </c>
      <c r="G104" s="1" t="s">
        <v>65</v>
      </c>
      <c r="H104">
        <v>3</v>
      </c>
      <c r="I104" s="5" t="s">
        <v>25</v>
      </c>
      <c r="J104" t="s">
        <v>7</v>
      </c>
      <c r="K104">
        <v>1</v>
      </c>
      <c r="L104">
        <v>4</v>
      </c>
      <c r="M104">
        <v>4</v>
      </c>
      <c r="N104">
        <v>1</v>
      </c>
      <c r="O104">
        <v>1</v>
      </c>
      <c r="P104">
        <v>1</v>
      </c>
      <c r="Q104">
        <v>1</v>
      </c>
      <c r="R104">
        <v>1</v>
      </c>
      <c r="S104">
        <v>2</v>
      </c>
      <c r="T104">
        <v>1</v>
      </c>
      <c r="U104">
        <v>1</v>
      </c>
      <c r="V104">
        <v>2</v>
      </c>
      <c r="W104" s="7" cm="1">
        <f t="array" ref="W104">SUM(OfficeForms.Table[[#This Row],[Gestión del alcance ]:[Gestión de compra ]]/9)</f>
        <v>1.2222222222222223</v>
      </c>
      <c r="X104" s="7">
        <v>0</v>
      </c>
      <c r="Y104" s="7">
        <v>1</v>
      </c>
      <c r="Z104" s="7">
        <v>1</v>
      </c>
      <c r="AA104" s="7">
        <v>0</v>
      </c>
      <c r="AB104" s="7">
        <v>0</v>
      </c>
      <c r="AC104" s="7" cm="1">
        <f t="array" ref="AC104">SUM(OfficeForms.Table[[#This Row],[Personas]:[Relaciones]]/5)</f>
        <v>0.4</v>
      </c>
      <c r="AD104">
        <v>3</v>
      </c>
      <c r="AE104">
        <v>3</v>
      </c>
      <c r="AF104">
        <v>3</v>
      </c>
      <c r="AG104">
        <v>3</v>
      </c>
      <c r="AH104">
        <v>3</v>
      </c>
      <c r="AJ104" cm="1">
        <f t="array" ref="AJ104">SUM(OfficeForms.Table[[#This Row],[Función Estratégica.Proporcionar asesoramiento a la alta dirección]:[Función Estratégica.Supervisar y controlar el desempeño de la propia PMO.]]/5)</f>
        <v>3</v>
      </c>
      <c r="AK104" s="1">
        <v>3</v>
      </c>
      <c r="AL104" s="1">
        <v>2</v>
      </c>
      <c r="AM104" s="1">
        <v>2</v>
      </c>
      <c r="AN104" s="1">
        <v>2</v>
      </c>
      <c r="AO104" s="1">
        <v>2</v>
      </c>
      <c r="AP104" s="7" cm="1">
        <f t="array" ref="AP104">SUM(OfficeForms.Table[[#This Row],[Función Táctica. Desarrollar e implementar una metodología estándar de gestión de proyectos.]:[Función Táctica.  Gestionar la base de datos de riesgos ]]/5)</f>
        <v>2.1999999999999997</v>
      </c>
      <c r="AQ104" s="1">
        <v>3</v>
      </c>
      <c r="AR104" s="1">
        <v>2</v>
      </c>
      <c r="AS104" s="1">
        <v>2</v>
      </c>
      <c r="AT104" s="1">
        <v>2</v>
      </c>
      <c r="AU104" s="1">
        <v>3</v>
      </c>
      <c r="AV104" s="7" cm="1">
        <f t="array" ref="AV104">SUM(OfficeForms.Table[[#This Row],[Función Operativa. Informar sobre el estado del proyecto/programa a la alta dirección.]:[Función Operativa. Gestionar documentación  proyecto y positorio de gestión del conocimiento.]]/5)</f>
        <v>2.4</v>
      </c>
      <c r="BU104"/>
    </row>
    <row r="105" spans="1:73">
      <c r="A105" s="13">
        <v>103</v>
      </c>
      <c r="B105" s="1" t="s">
        <v>77</v>
      </c>
      <c r="C105" s="1" t="s">
        <v>82</v>
      </c>
      <c r="D105" s="1" t="s">
        <v>2</v>
      </c>
      <c r="E105" s="1" t="s">
        <v>58</v>
      </c>
      <c r="F105" s="1" t="s">
        <v>3</v>
      </c>
      <c r="G105" s="1" t="s">
        <v>65</v>
      </c>
      <c r="H105">
        <v>4</v>
      </c>
      <c r="I105" s="5" t="s">
        <v>69</v>
      </c>
      <c r="J105" t="s">
        <v>4</v>
      </c>
      <c r="K105">
        <v>2</v>
      </c>
      <c r="L105">
        <v>2</v>
      </c>
      <c r="M105">
        <v>2</v>
      </c>
      <c r="N105">
        <v>2</v>
      </c>
      <c r="O105">
        <v>2</v>
      </c>
      <c r="P105">
        <v>2</v>
      </c>
      <c r="Q105">
        <v>1</v>
      </c>
      <c r="R105">
        <v>1</v>
      </c>
      <c r="S105">
        <v>2</v>
      </c>
      <c r="T105">
        <v>3</v>
      </c>
      <c r="U105">
        <v>1</v>
      </c>
      <c r="V105">
        <v>2</v>
      </c>
      <c r="W105" s="7" cm="1">
        <f t="array" ref="W105">SUM(OfficeForms.Table[[#This Row],[Gestión del alcance ]:[Gestión de compra ]]/9)</f>
        <v>1.7777777777777777</v>
      </c>
      <c r="X105" s="7">
        <v>0</v>
      </c>
      <c r="Y105" s="7">
        <v>1</v>
      </c>
      <c r="Z105" s="7">
        <v>1</v>
      </c>
      <c r="AA105" s="7">
        <v>1</v>
      </c>
      <c r="AB105" s="7">
        <v>1</v>
      </c>
      <c r="AC105" s="7" cm="1">
        <f t="array" ref="AC105">SUM(OfficeForms.Table[[#This Row],[Personas]:[Relaciones]]/5)</f>
        <v>0.8</v>
      </c>
      <c r="AD105">
        <v>2</v>
      </c>
      <c r="AE105">
        <v>4</v>
      </c>
      <c r="AF105">
        <v>4</v>
      </c>
      <c r="AG105">
        <v>4</v>
      </c>
      <c r="AH105">
        <v>2</v>
      </c>
      <c r="AJ105" cm="1">
        <f t="array" ref="AJ105">SUM(OfficeForms.Table[[#This Row],[Función Estratégica.Proporcionar asesoramiento a la alta dirección]:[Función Estratégica.Supervisar y controlar el desempeño de la propia PMO.]]/5)</f>
        <v>3.1999999999999997</v>
      </c>
      <c r="AK105" s="1">
        <v>2</v>
      </c>
      <c r="AL105" s="1">
        <v>2</v>
      </c>
      <c r="AM105" s="1">
        <v>2</v>
      </c>
      <c r="AN105" s="1">
        <v>2</v>
      </c>
      <c r="AO105" s="1">
        <v>1</v>
      </c>
      <c r="AP105" s="7" cm="1">
        <f t="array" ref="AP105">SUM(OfficeForms.Table[[#This Row],[Función Táctica. Desarrollar e implementar una metodología estándar de gestión de proyectos.]:[Función Táctica.  Gestionar la base de datos de riesgos ]]/5)</f>
        <v>1.8</v>
      </c>
      <c r="AQ105" s="1">
        <v>2</v>
      </c>
      <c r="AR105" s="1">
        <v>1</v>
      </c>
      <c r="AS105" s="1">
        <v>1</v>
      </c>
      <c r="AT105" s="1">
        <v>2</v>
      </c>
      <c r="AU105" s="1">
        <v>1</v>
      </c>
      <c r="AV105" s="7" cm="1">
        <f t="array" ref="AV105">SUM(OfficeForms.Table[[#This Row],[Función Operativa. Informar sobre el estado del proyecto/programa a la alta dirección.]:[Función Operativa. Gestionar documentación  proyecto y positorio de gestión del conocimiento.]]/5)</f>
        <v>1.4000000000000001</v>
      </c>
      <c r="BU105"/>
    </row>
    <row r="106" spans="1:73">
      <c r="A106" s="13">
        <v>104</v>
      </c>
      <c r="B106" s="1" t="s">
        <v>75</v>
      </c>
      <c r="C106" s="1" t="s">
        <v>81</v>
      </c>
      <c r="D106" s="1" t="s">
        <v>2</v>
      </c>
      <c r="E106" s="1" t="s">
        <v>57</v>
      </c>
      <c r="F106" s="1" t="s">
        <v>61</v>
      </c>
      <c r="G106" s="1" t="s">
        <v>66</v>
      </c>
      <c r="H106">
        <v>4</v>
      </c>
      <c r="I106" s="5" t="s">
        <v>68</v>
      </c>
      <c r="J106" t="s">
        <v>13</v>
      </c>
      <c r="K106">
        <v>3</v>
      </c>
      <c r="L106">
        <v>5</v>
      </c>
      <c r="M106">
        <v>5</v>
      </c>
      <c r="N106">
        <v>4</v>
      </c>
      <c r="O106">
        <v>5</v>
      </c>
      <c r="P106">
        <v>5</v>
      </c>
      <c r="Q106">
        <v>5</v>
      </c>
      <c r="R106">
        <v>5</v>
      </c>
      <c r="S106">
        <v>5</v>
      </c>
      <c r="T106">
        <v>5</v>
      </c>
      <c r="U106">
        <v>5</v>
      </c>
      <c r="V106">
        <v>5</v>
      </c>
      <c r="W106" s="7" cm="1">
        <f t="array" ref="W106">SUM(OfficeForms.Table[[#This Row],[Gestión del alcance ]:[Gestión de compra ]]/9)</f>
        <v>4.8888888888888884</v>
      </c>
      <c r="X106" s="7">
        <v>5</v>
      </c>
      <c r="Y106" s="7">
        <v>5</v>
      </c>
      <c r="Z106" s="7">
        <v>5</v>
      </c>
      <c r="AA106" s="7">
        <v>5</v>
      </c>
      <c r="AB106" s="7">
        <v>5</v>
      </c>
      <c r="AC106" s="7" cm="1">
        <f t="array" ref="AC106">SUM(OfficeForms.Table[[#This Row],[Personas]:[Relaciones]]/5)</f>
        <v>5</v>
      </c>
      <c r="AD106">
        <v>5</v>
      </c>
      <c r="AE106">
        <v>5</v>
      </c>
      <c r="AF106">
        <v>5</v>
      </c>
      <c r="AG106">
        <v>4</v>
      </c>
      <c r="AH106">
        <v>3</v>
      </c>
      <c r="AJ106" cm="1">
        <f t="array" ref="AJ106">SUM(OfficeForms.Table[[#This Row],[Función Estratégica.Proporcionar asesoramiento a la alta dirección]:[Función Estratégica.Supervisar y controlar el desempeño de la propia PMO.]]/5)</f>
        <v>4.3999999999999995</v>
      </c>
      <c r="AK106" s="1">
        <v>3</v>
      </c>
      <c r="AL106" s="1">
        <v>3</v>
      </c>
      <c r="AM106" s="1">
        <v>2</v>
      </c>
      <c r="AN106" s="1">
        <v>2</v>
      </c>
      <c r="AO106" s="1">
        <v>2</v>
      </c>
      <c r="AP106" s="7" cm="1">
        <f t="array" ref="AP106">SUM(OfficeForms.Table[[#This Row],[Función Táctica. Desarrollar e implementar una metodología estándar de gestión de proyectos.]:[Función Táctica.  Gestionar la base de datos de riesgos ]]/5)</f>
        <v>2.4</v>
      </c>
      <c r="AQ106" s="1">
        <v>5</v>
      </c>
      <c r="AR106" s="1">
        <v>2</v>
      </c>
      <c r="AS106" s="1">
        <v>4</v>
      </c>
      <c r="AT106" s="1">
        <v>5</v>
      </c>
      <c r="AU106" s="1">
        <v>2</v>
      </c>
      <c r="AV106" s="7" cm="1">
        <f t="array" ref="AV106">SUM(OfficeForms.Table[[#This Row],[Función Operativa. Informar sobre el estado del proyecto/programa a la alta dirección.]:[Función Operativa. Gestionar documentación  proyecto y positorio de gestión del conocimiento.]]/5)</f>
        <v>3.6</v>
      </c>
      <c r="BU106"/>
    </row>
    <row r="107" spans="1:73">
      <c r="U107"/>
    </row>
    <row r="108" spans="1:73">
      <c r="U108"/>
    </row>
    <row r="109" spans="1:73">
      <c r="U109"/>
    </row>
    <row r="110" spans="1:73">
      <c r="U110"/>
    </row>
    <row r="111" spans="1:73">
      <c r="U111"/>
    </row>
    <row r="112" spans="1:73">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row r="185" spans="21:21">
      <c r="U185"/>
    </row>
    <row r="186" spans="21:21">
      <c r="U186"/>
    </row>
    <row r="187" spans="21:21">
      <c r="U187"/>
    </row>
    <row r="188" spans="21:21">
      <c r="U188"/>
    </row>
    <row r="189" spans="21:21">
      <c r="U189"/>
    </row>
    <row r="190" spans="21:21">
      <c r="U190"/>
    </row>
    <row r="191" spans="21:21">
      <c r="U191"/>
    </row>
    <row r="192" spans="21:21">
      <c r="U192"/>
    </row>
    <row r="193" spans="21:21">
      <c r="U193"/>
    </row>
    <row r="194" spans="21:21">
      <c r="U194"/>
    </row>
    <row r="195" spans="21:21">
      <c r="U195"/>
    </row>
    <row r="196" spans="21:21">
      <c r="U196"/>
    </row>
    <row r="197" spans="21:21">
      <c r="U197"/>
    </row>
    <row r="198" spans="21:21">
      <c r="U198"/>
    </row>
    <row r="199" spans="21:21">
      <c r="U199"/>
    </row>
    <row r="200" spans="21:21">
      <c r="U200"/>
    </row>
    <row r="201" spans="21:21">
      <c r="U201"/>
    </row>
    <row r="202" spans="21:21">
      <c r="U202"/>
    </row>
    <row r="203" spans="21:21">
      <c r="U203"/>
    </row>
    <row r="204" spans="21:21">
      <c r="U204"/>
    </row>
    <row r="205" spans="21:21">
      <c r="U205"/>
    </row>
    <row r="206" spans="21:21">
      <c r="U206"/>
    </row>
    <row r="207" spans="21:21">
      <c r="U207"/>
    </row>
    <row r="208" spans="21:21">
      <c r="U208"/>
    </row>
    <row r="209" spans="21:21">
      <c r="U209"/>
    </row>
    <row r="210" spans="21:21">
      <c r="U210"/>
    </row>
    <row r="211" spans="21:21">
      <c r="U211"/>
    </row>
    <row r="212" spans="21:21">
      <c r="U212"/>
    </row>
    <row r="213" spans="21:21">
      <c r="U213"/>
    </row>
    <row r="214" spans="21:21">
      <c r="U214"/>
    </row>
    <row r="215" spans="21:21">
      <c r="U215"/>
    </row>
    <row r="216" spans="21:21">
      <c r="U216"/>
    </row>
    <row r="217" spans="21:21">
      <c r="U217"/>
    </row>
    <row r="218" spans="21:21">
      <c r="U218"/>
    </row>
    <row r="219" spans="21:21">
      <c r="U219"/>
    </row>
    <row r="220" spans="21:21">
      <c r="U220"/>
    </row>
    <row r="221" spans="21:21">
      <c r="U221"/>
    </row>
    <row r="222" spans="21:21">
      <c r="U222"/>
    </row>
    <row r="223" spans="21:21">
      <c r="U223"/>
    </row>
    <row r="224" spans="21:21">
      <c r="U224"/>
    </row>
    <row r="225" spans="21:21">
      <c r="U225"/>
    </row>
    <row r="226" spans="21:21">
      <c r="U226"/>
    </row>
    <row r="227" spans="21:21">
      <c r="U227"/>
    </row>
    <row r="228" spans="21:21">
      <c r="U228"/>
    </row>
    <row r="229" spans="21:21">
      <c r="U229"/>
    </row>
    <row r="230" spans="21:21">
      <c r="U230"/>
    </row>
    <row r="231" spans="21:21">
      <c r="U231"/>
    </row>
    <row r="232" spans="21:21">
      <c r="U232"/>
    </row>
    <row r="233" spans="21:21">
      <c r="U233"/>
    </row>
    <row r="234" spans="21:21">
      <c r="U234"/>
    </row>
    <row r="235" spans="21:21">
      <c r="U235"/>
    </row>
    <row r="236" spans="21:21">
      <c r="U236"/>
    </row>
    <row r="237" spans="21:21">
      <c r="U237"/>
    </row>
    <row r="238" spans="21:21">
      <c r="U238"/>
    </row>
    <row r="239" spans="21:21">
      <c r="U239"/>
    </row>
    <row r="240" spans="21:21">
      <c r="U240"/>
    </row>
  </sheetData>
  <phoneticPr fontId="3" type="noConversion"/>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BC234-C466-FF4F-8719-FF8F1DEB55EB}">
  <sheetPr codeName="Sheet6"/>
  <dimension ref="C3:G18"/>
  <sheetViews>
    <sheetView topLeftCell="A3" workbookViewId="0">
      <selection activeCell="G7" sqref="G7"/>
    </sheetView>
  </sheetViews>
  <sheetFormatPr baseColWidth="10" defaultRowHeight="15"/>
  <cols>
    <col min="3" max="3" width="29.5" customWidth="1"/>
    <col min="4" max="4" width="37" customWidth="1"/>
    <col min="5" max="5" width="38.6640625" customWidth="1"/>
    <col min="6" max="6" width="37.5" customWidth="1"/>
    <col min="7" max="7" width="35.83203125" customWidth="1"/>
  </cols>
  <sheetData>
    <row r="3" spans="3:7">
      <c r="D3" s="47" t="s">
        <v>174</v>
      </c>
      <c r="E3" s="48"/>
      <c r="F3" s="48"/>
      <c r="G3" s="48"/>
    </row>
    <row r="4" spans="3:7">
      <c r="D4" s="48"/>
      <c r="E4" s="48"/>
      <c r="F4" s="48"/>
      <c r="G4" s="48"/>
    </row>
    <row r="6" spans="3:7" ht="19">
      <c r="C6" s="37" t="s">
        <v>164</v>
      </c>
      <c r="D6" s="37" t="s">
        <v>165</v>
      </c>
      <c r="E6" s="37" t="s">
        <v>166</v>
      </c>
      <c r="F6" s="37" t="s">
        <v>167</v>
      </c>
      <c r="G6" s="37" t="s">
        <v>168</v>
      </c>
    </row>
    <row r="7" spans="3:7" ht="227" customHeight="1">
      <c r="C7" s="2" t="s">
        <v>170</v>
      </c>
      <c r="D7" s="2" t="s">
        <v>169</v>
      </c>
      <c r="E7" s="2" t="s">
        <v>171</v>
      </c>
      <c r="F7" s="2" t="s">
        <v>172</v>
      </c>
      <c r="G7" s="2" t="s">
        <v>173</v>
      </c>
    </row>
    <row r="12" spans="3:7">
      <c r="D12" s="47" t="s">
        <v>175</v>
      </c>
      <c r="E12" s="48"/>
      <c r="F12" s="48"/>
      <c r="G12" s="48"/>
    </row>
    <row r="13" spans="3:7">
      <c r="D13" s="48"/>
      <c r="E13" s="48"/>
      <c r="F13" s="48"/>
      <c r="G13" s="48"/>
    </row>
    <row r="17" spans="3:7" ht="19">
      <c r="C17" s="37" t="s">
        <v>176</v>
      </c>
      <c r="D17" s="37" t="s">
        <v>177</v>
      </c>
      <c r="E17" s="37" t="s">
        <v>178</v>
      </c>
      <c r="F17" s="37" t="s">
        <v>179</v>
      </c>
      <c r="G17" s="37" t="s">
        <v>180</v>
      </c>
    </row>
    <row r="18" spans="3:7">
      <c r="C18" s="2"/>
      <c r="D18" s="2"/>
      <c r="E18" s="2"/>
      <c r="F18" s="2"/>
      <c r="G18" s="2"/>
    </row>
  </sheetData>
  <mergeCells count="2">
    <mergeCell ref="D3:G4"/>
    <mergeCell ref="D12:G13"/>
  </mergeCell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93F16-E257-3147-8A61-CF729C26FBAF}">
  <sheetPr codeName="Sheet7">
    <outlinePr summaryBelow="0" summaryRight="0"/>
  </sheetPr>
  <dimension ref="A1:P44"/>
  <sheetViews>
    <sheetView showGridLines="0" workbookViewId="0">
      <selection activeCell="I38" sqref="I38:N40"/>
    </sheetView>
  </sheetViews>
  <sheetFormatPr baseColWidth="10" defaultColWidth="12.6640625" defaultRowHeight="15.75" customHeight="1"/>
  <cols>
    <col min="1" max="1" width="6.1640625" style="14" customWidth="1"/>
    <col min="2" max="2" width="2.83203125" style="14" customWidth="1"/>
    <col min="3" max="7" width="12.6640625" style="14"/>
    <col min="8" max="8" width="3.6640625" style="14" customWidth="1"/>
    <col min="9" max="14" width="12.6640625" style="14"/>
    <col min="15" max="15" width="2.83203125" style="14" customWidth="1"/>
    <col min="16" max="16" width="6.83203125" style="14" customWidth="1"/>
    <col min="17" max="16384" width="12.6640625" style="14"/>
  </cols>
  <sheetData>
    <row r="1" spans="1:16" ht="24" customHeight="1">
      <c r="A1" s="15"/>
      <c r="B1" s="15"/>
      <c r="C1" s="15"/>
      <c r="D1" s="15"/>
      <c r="E1" s="15"/>
      <c r="F1" s="15"/>
      <c r="G1" s="15"/>
      <c r="H1" s="15"/>
      <c r="I1" s="15"/>
      <c r="J1" s="15"/>
      <c r="K1" s="15"/>
      <c r="L1" s="15"/>
      <c r="M1" s="15"/>
      <c r="N1" s="15"/>
      <c r="O1" s="15"/>
      <c r="P1" s="15"/>
    </row>
    <row r="2" spans="1:16" ht="24" customHeight="1">
      <c r="A2" s="15"/>
      <c r="B2" s="76" t="s">
        <v>103</v>
      </c>
      <c r="C2" s="65"/>
      <c r="D2" s="65"/>
      <c r="E2" s="65"/>
      <c r="F2" s="65"/>
      <c r="G2" s="65"/>
      <c r="H2" s="65"/>
      <c r="I2" s="65"/>
      <c r="J2" s="65"/>
      <c r="K2" s="65"/>
      <c r="L2" s="65"/>
      <c r="M2" s="65"/>
      <c r="N2" s="65"/>
      <c r="O2" s="65"/>
      <c r="P2" s="15"/>
    </row>
    <row r="3" spans="1:16" ht="24" customHeight="1">
      <c r="A3" s="15"/>
      <c r="B3" s="65"/>
      <c r="C3" s="65"/>
      <c r="D3" s="65"/>
      <c r="E3" s="65"/>
      <c r="F3" s="65"/>
      <c r="G3" s="65"/>
      <c r="H3" s="65"/>
      <c r="I3" s="65"/>
      <c r="J3" s="65"/>
      <c r="K3" s="65"/>
      <c r="L3" s="65"/>
      <c r="M3" s="65"/>
      <c r="N3" s="65"/>
      <c r="O3" s="65"/>
      <c r="P3" s="15"/>
    </row>
    <row r="4" spans="1:16" ht="6.75" customHeight="1">
      <c r="A4" s="15"/>
      <c r="B4" s="15"/>
      <c r="C4" s="15"/>
      <c r="D4" s="15"/>
      <c r="E4" s="15"/>
      <c r="F4" s="15"/>
      <c r="G4" s="15"/>
      <c r="H4" s="15"/>
      <c r="I4" s="15"/>
      <c r="J4" s="15"/>
      <c r="K4" s="15"/>
      <c r="L4" s="15"/>
      <c r="M4" s="15"/>
      <c r="N4" s="15"/>
      <c r="O4" s="15"/>
      <c r="P4" s="15"/>
    </row>
    <row r="5" spans="1:16" ht="24" customHeight="1">
      <c r="A5" s="15"/>
      <c r="B5" s="77" t="s">
        <v>101</v>
      </c>
      <c r="C5" s="65"/>
      <c r="D5" s="65"/>
      <c r="E5" s="65"/>
      <c r="F5" s="65"/>
      <c r="G5" s="65"/>
      <c r="H5" s="65"/>
      <c r="I5" s="65"/>
      <c r="J5" s="65"/>
      <c r="K5" s="65"/>
      <c r="L5" s="65"/>
      <c r="M5" s="65"/>
      <c r="N5" s="65"/>
      <c r="O5" s="65"/>
      <c r="P5" s="15"/>
    </row>
    <row r="6" spans="1:16" ht="24" customHeight="1" thickBot="1">
      <c r="A6" s="15"/>
      <c r="B6" s="15"/>
      <c r="C6" s="15"/>
      <c r="D6" s="15"/>
      <c r="E6" s="15"/>
      <c r="F6" s="15"/>
      <c r="G6" s="15"/>
      <c r="H6" s="15"/>
      <c r="I6" s="15"/>
      <c r="J6" s="15"/>
      <c r="K6" s="15"/>
      <c r="L6" s="15"/>
      <c r="M6" s="15"/>
      <c r="N6" s="15"/>
      <c r="O6" s="15"/>
      <c r="P6" s="15"/>
    </row>
    <row r="7" spans="1:16" ht="24" customHeight="1">
      <c r="A7" s="15"/>
      <c r="B7" s="15"/>
      <c r="C7" s="78" t="s">
        <v>102</v>
      </c>
      <c r="D7" s="65"/>
      <c r="E7" s="65"/>
      <c r="F7" s="65"/>
      <c r="G7" s="65"/>
      <c r="H7" s="15"/>
      <c r="I7" s="89" t="str">
        <f>IF($D$8="","",UPPER(VLOOKUP($D$8,'[1]Report Title List'!$B$6:$D44,2,0)))</f>
        <v>A STUDY OF RENEWABLE ENERGY SOURCES</v>
      </c>
      <c r="J7" s="101"/>
      <c r="K7" s="101"/>
      <c r="L7" s="101"/>
      <c r="M7" s="101"/>
      <c r="N7" s="102"/>
      <c r="O7" s="15"/>
      <c r="P7" s="15"/>
    </row>
    <row r="8" spans="1:16" ht="24" customHeight="1">
      <c r="A8" s="15"/>
      <c r="B8" s="15"/>
      <c r="C8" s="24" t="s">
        <v>100</v>
      </c>
      <c r="D8" s="108" t="s">
        <v>99</v>
      </c>
      <c r="E8" s="109"/>
      <c r="F8" s="109"/>
      <c r="G8" s="109"/>
      <c r="H8" s="15"/>
      <c r="I8" s="103"/>
      <c r="J8" s="65"/>
      <c r="K8" s="65"/>
      <c r="L8" s="65"/>
      <c r="M8" s="65"/>
      <c r="N8" s="104"/>
      <c r="O8" s="15"/>
      <c r="P8" s="15"/>
    </row>
    <row r="9" spans="1:16" ht="24" customHeight="1" thickBot="1">
      <c r="A9" s="15"/>
      <c r="B9" s="15"/>
      <c r="C9" s="24" t="s">
        <v>98</v>
      </c>
      <c r="D9" s="62" t="str">
        <f>IF($D$8="","",VLOOKUP($D$8,'[1]Student List'!$B$6:$E44,2,0))</f>
        <v>ST2024 - 01</v>
      </c>
      <c r="E9" s="63"/>
      <c r="F9" s="63"/>
      <c r="G9" s="63"/>
      <c r="H9" s="15"/>
      <c r="I9" s="105"/>
      <c r="J9" s="106"/>
      <c r="K9" s="106"/>
      <c r="L9" s="106"/>
      <c r="M9" s="106"/>
      <c r="N9" s="107"/>
      <c r="O9" s="15"/>
      <c r="P9" s="15"/>
    </row>
    <row r="10" spans="1:16" ht="24" customHeight="1">
      <c r="A10" s="15"/>
      <c r="B10" s="15"/>
      <c r="C10" s="24" t="s">
        <v>97</v>
      </c>
      <c r="D10" s="62" t="str">
        <f>IF($D$8="","",VLOOKUP($D$8,'[1]Student List'!$B$6:$E44,3,0))</f>
        <v>9th - Grade</v>
      </c>
      <c r="E10" s="63"/>
      <c r="F10" s="63"/>
      <c r="G10" s="63"/>
      <c r="H10" s="15"/>
      <c r="I10" s="110" t="s">
        <v>96</v>
      </c>
      <c r="J10" s="65"/>
      <c r="K10" s="65"/>
      <c r="L10" s="65"/>
      <c r="M10" s="65"/>
      <c r="N10" s="65"/>
      <c r="O10" s="15"/>
      <c r="P10" s="15"/>
    </row>
    <row r="11" spans="1:16" ht="24" customHeight="1">
      <c r="A11" s="15"/>
      <c r="B11" s="15"/>
      <c r="C11" s="24" t="s">
        <v>95</v>
      </c>
      <c r="D11" s="62" t="str">
        <f>IF($D$8="","",VLOOKUP($D$8,'[1]Student List'!$B$6:$E44,4,0))</f>
        <v>Ms. Jane Smith</v>
      </c>
      <c r="E11" s="63"/>
      <c r="F11" s="63"/>
      <c r="G11" s="63"/>
      <c r="H11" s="15"/>
      <c r="I11" s="110" t="s">
        <v>94</v>
      </c>
      <c r="J11" s="65"/>
      <c r="K11" s="65"/>
      <c r="L11" s="111">
        <f>IF($D$8="","",(VLOOKUP($D$8,'[1]Report Title List'!$B$6:$D44,3,0)))</f>
        <v>45570</v>
      </c>
      <c r="M11" s="109"/>
      <c r="N11" s="109"/>
      <c r="O11" s="15"/>
      <c r="P11" s="15"/>
    </row>
    <row r="12" spans="1:16" ht="24" customHeight="1">
      <c r="A12" s="15"/>
      <c r="B12" s="15"/>
      <c r="C12" s="15"/>
      <c r="D12" s="15"/>
      <c r="E12" s="15"/>
      <c r="F12" s="15"/>
      <c r="G12" s="15"/>
      <c r="H12" s="15"/>
      <c r="I12" s="15"/>
      <c r="J12" s="15"/>
      <c r="K12" s="15"/>
      <c r="L12" s="15"/>
      <c r="M12" s="15"/>
      <c r="N12" s="15"/>
      <c r="O12" s="15"/>
      <c r="P12" s="15"/>
    </row>
    <row r="13" spans="1:16" ht="15.75" customHeight="1">
      <c r="A13" s="15"/>
      <c r="B13" s="23"/>
      <c r="C13" s="22"/>
      <c r="D13" s="22"/>
      <c r="E13" s="22"/>
      <c r="F13" s="22"/>
      <c r="G13" s="22"/>
      <c r="H13" s="22"/>
      <c r="I13" s="22"/>
      <c r="J13" s="22"/>
      <c r="K13" s="22"/>
      <c r="L13" s="22"/>
      <c r="M13" s="22"/>
      <c r="N13" s="22"/>
      <c r="O13" s="21"/>
      <c r="P13" s="15"/>
    </row>
    <row r="14" spans="1:16" ht="24" customHeight="1">
      <c r="A14" s="15"/>
      <c r="B14" s="20"/>
      <c r="C14" s="112" t="s">
        <v>93</v>
      </c>
      <c r="D14" s="69" t="str">
        <f>IF($I$7="","",VLOOKUP($I$7,'[1]School Report Details'!$B$7:$N44,4,0))</f>
        <v>Solar Energy</v>
      </c>
      <c r="E14" s="65"/>
      <c r="F14" s="65"/>
      <c r="G14" s="70"/>
      <c r="H14" s="15"/>
      <c r="I14" s="64" t="s">
        <v>92</v>
      </c>
      <c r="J14" s="65"/>
      <c r="K14" s="65"/>
      <c r="L14" s="65"/>
      <c r="M14" s="65"/>
      <c r="N14" s="65"/>
      <c r="O14" s="19"/>
      <c r="P14" s="15"/>
    </row>
    <row r="15" spans="1:16" ht="24" customHeight="1">
      <c r="A15" s="15"/>
      <c r="B15" s="20"/>
      <c r="C15" s="65"/>
      <c r="D15" s="114" t="str">
        <f>IF($I$7="","",VLOOKUP($I$7,'[1]School Report Details'!$B$7:$N44,5,0))</f>
        <v xml:space="preserve">Solar energy harnesses the power of sunlight to generate electricity. Photovoltaic cells convert sunlight directly into electricity, while solar thermal systems utilize mirrors or lenses to concentrate sunlight into heat energy. </v>
      </c>
      <c r="E15" s="65"/>
      <c r="F15" s="65"/>
      <c r="G15" s="70"/>
      <c r="H15" s="15"/>
      <c r="I15" s="115" t="str">
        <f>IF($I$7="","",VLOOKUP($I$7,'[1]School Report Details'!$B$7:$N44,2,0))</f>
        <v>This report aims to provide an overview of various renewable energy sources and their potential in mitigating environmental challenges. It discusses the benefits and drawbacks of solar, wind, and biomass energy, offering insights into their feasibility for widespread adoption.</v>
      </c>
      <c r="J15" s="65"/>
      <c r="K15" s="65"/>
      <c r="L15" s="65"/>
      <c r="M15" s="65"/>
      <c r="N15" s="70"/>
      <c r="O15" s="19"/>
      <c r="P15" s="15"/>
    </row>
    <row r="16" spans="1:16" ht="24" customHeight="1">
      <c r="A16" s="15"/>
      <c r="B16" s="20"/>
      <c r="C16" s="65"/>
      <c r="D16" s="65"/>
      <c r="E16" s="65"/>
      <c r="F16" s="65"/>
      <c r="G16" s="70"/>
      <c r="H16" s="15"/>
      <c r="I16" s="116"/>
      <c r="J16" s="65"/>
      <c r="K16" s="65"/>
      <c r="L16" s="65"/>
      <c r="M16" s="65"/>
      <c r="N16" s="70"/>
      <c r="O16" s="19"/>
      <c r="P16" s="15"/>
    </row>
    <row r="17" spans="1:16" ht="24" customHeight="1">
      <c r="A17" s="15"/>
      <c r="B17" s="20"/>
      <c r="C17" s="65"/>
      <c r="D17" s="65"/>
      <c r="E17" s="65"/>
      <c r="F17" s="65"/>
      <c r="G17" s="70"/>
      <c r="H17" s="15"/>
      <c r="I17" s="116"/>
      <c r="J17" s="65"/>
      <c r="K17" s="65"/>
      <c r="L17" s="65"/>
      <c r="M17" s="65"/>
      <c r="N17" s="70"/>
      <c r="O17" s="19"/>
      <c r="P17" s="15"/>
    </row>
    <row r="18" spans="1:16" ht="24" customHeight="1">
      <c r="A18" s="15"/>
      <c r="B18" s="20"/>
      <c r="C18" s="65"/>
      <c r="D18" s="65"/>
      <c r="E18" s="65"/>
      <c r="F18" s="65"/>
      <c r="G18" s="70"/>
      <c r="H18" s="15"/>
      <c r="I18" s="117"/>
      <c r="J18" s="118"/>
      <c r="K18" s="118"/>
      <c r="L18" s="118"/>
      <c r="M18" s="118"/>
      <c r="N18" s="119"/>
      <c r="O18" s="19"/>
      <c r="P18" s="15"/>
    </row>
    <row r="19" spans="1:16" ht="24" customHeight="1" thickBot="1">
      <c r="A19" s="15"/>
      <c r="B19" s="20"/>
      <c r="C19" s="113"/>
      <c r="D19" s="65"/>
      <c r="E19" s="65"/>
      <c r="F19" s="65"/>
      <c r="G19" s="70"/>
      <c r="H19" s="15"/>
      <c r="I19" s="15"/>
      <c r="J19" s="15"/>
      <c r="K19" s="15"/>
      <c r="L19" s="15"/>
      <c r="M19" s="15"/>
      <c r="N19" s="15"/>
      <c r="O19" s="19"/>
      <c r="P19" s="15"/>
    </row>
    <row r="20" spans="1:16" ht="24" customHeight="1">
      <c r="A20" s="15"/>
      <c r="B20" s="20"/>
      <c r="C20" s="112" t="s">
        <v>91</v>
      </c>
      <c r="D20" s="69" t="str">
        <f>IF($I$7="","",VLOOKUP($I$7,'[1]School Report Details'!$B$7:$N44,6,0))</f>
        <v>Wind Energy</v>
      </c>
      <c r="E20" s="65"/>
      <c r="F20" s="65"/>
      <c r="G20" s="70"/>
      <c r="H20" s="15"/>
      <c r="I20" s="64" t="s">
        <v>90</v>
      </c>
      <c r="J20" s="65"/>
      <c r="K20" s="65"/>
      <c r="L20" s="65"/>
      <c r="M20" s="65"/>
      <c r="N20" s="65"/>
      <c r="O20" s="19"/>
      <c r="P20" s="15"/>
    </row>
    <row r="21" spans="1:16" ht="24" customHeight="1">
      <c r="A21" s="15"/>
      <c r="B21" s="20"/>
      <c r="C21" s="65"/>
      <c r="D21" s="114" t="str">
        <f>IF($I$7="","",VLOOKUP($I$7,'[1]School Report Details'!$B$7:$N44,7,0))</f>
        <v>Wind energy captures kinetic energy from the wind and converts it into electricity through wind turbines. It is a mature and widely deployed technology, particularly in regions with consistent wind patterns.</v>
      </c>
      <c r="E21" s="65"/>
      <c r="F21" s="65"/>
      <c r="G21" s="70"/>
      <c r="H21" s="15"/>
      <c r="I21" s="115" t="str">
        <f>IF($I$7="","",VLOOKUP($I$7,'[1]School Report Details'!$B$7:$N44,3,0))</f>
        <v>In an era where sustainable energy solutions are paramount, this report delves into renewable energy sources as viable alternatives to fossil fuels. With the imminent threat of climate change, understanding and embracing such resources is crucial for a sustainable future.</v>
      </c>
      <c r="J21" s="65"/>
      <c r="K21" s="65"/>
      <c r="L21" s="65"/>
      <c r="M21" s="65"/>
      <c r="N21" s="70"/>
      <c r="O21" s="19"/>
      <c r="P21" s="15"/>
    </row>
    <row r="22" spans="1:16" ht="24" customHeight="1">
      <c r="A22" s="15"/>
      <c r="B22" s="20"/>
      <c r="C22" s="65"/>
      <c r="D22" s="65"/>
      <c r="E22" s="65"/>
      <c r="F22" s="65"/>
      <c r="G22" s="70"/>
      <c r="H22" s="15"/>
      <c r="I22" s="116"/>
      <c r="J22" s="65"/>
      <c r="K22" s="65"/>
      <c r="L22" s="65"/>
      <c r="M22" s="65"/>
      <c r="N22" s="70"/>
      <c r="O22" s="19"/>
      <c r="P22" s="15"/>
    </row>
    <row r="23" spans="1:16" ht="24" customHeight="1">
      <c r="A23" s="15"/>
      <c r="B23" s="20"/>
      <c r="C23" s="65"/>
      <c r="D23" s="65"/>
      <c r="E23" s="65"/>
      <c r="F23" s="65"/>
      <c r="G23" s="70"/>
      <c r="H23" s="15"/>
      <c r="I23" s="116"/>
      <c r="J23" s="65"/>
      <c r="K23" s="65"/>
      <c r="L23" s="65"/>
      <c r="M23" s="65"/>
      <c r="N23" s="70"/>
      <c r="O23" s="19"/>
      <c r="P23" s="15"/>
    </row>
    <row r="24" spans="1:16" ht="24" customHeight="1">
      <c r="A24" s="15"/>
      <c r="B24" s="20"/>
      <c r="C24" s="65"/>
      <c r="D24" s="65"/>
      <c r="E24" s="65"/>
      <c r="F24" s="65"/>
      <c r="G24" s="70"/>
      <c r="H24" s="15"/>
      <c r="I24" s="117"/>
      <c r="J24" s="118"/>
      <c r="K24" s="118"/>
      <c r="L24" s="118"/>
      <c r="M24" s="118"/>
      <c r="N24" s="119"/>
      <c r="O24" s="19"/>
      <c r="P24" s="15"/>
    </row>
    <row r="25" spans="1:16" ht="24" customHeight="1" thickBot="1">
      <c r="A25" s="15"/>
      <c r="B25" s="20"/>
      <c r="C25" s="113"/>
      <c r="D25" s="65"/>
      <c r="E25" s="65"/>
      <c r="F25" s="65"/>
      <c r="G25" s="70"/>
      <c r="H25" s="15"/>
      <c r="I25" s="15"/>
      <c r="J25" s="15"/>
      <c r="K25" s="15"/>
      <c r="L25" s="15"/>
      <c r="M25" s="15"/>
      <c r="N25" s="15"/>
      <c r="O25" s="19"/>
      <c r="P25" s="15"/>
    </row>
    <row r="26" spans="1:16" ht="24" customHeight="1">
      <c r="A26" s="15"/>
      <c r="B26" s="20"/>
      <c r="C26" s="112" t="s">
        <v>89</v>
      </c>
      <c r="D26" s="69" t="str">
        <f>IF($I$7="","",VLOOKUP($I$7,'[1]School Report Details'!$B$7:$N44,8,0))</f>
        <v xml:space="preserve"> Biomass Energy</v>
      </c>
      <c r="E26" s="65"/>
      <c r="F26" s="65"/>
      <c r="G26" s="70"/>
      <c r="H26" s="15"/>
      <c r="I26" s="64" t="s">
        <v>88</v>
      </c>
      <c r="J26" s="65"/>
      <c r="K26" s="65"/>
      <c r="L26" s="65"/>
      <c r="M26" s="65"/>
      <c r="N26" s="65"/>
      <c r="O26" s="19"/>
      <c r="P26" s="15"/>
    </row>
    <row r="27" spans="1:16" ht="24" customHeight="1">
      <c r="A27" s="15"/>
      <c r="B27" s="20"/>
      <c r="C27" s="65"/>
      <c r="D27" s="114" t="str">
        <f>IF($I$7="","",VLOOKUP($I$7,'[1]School Report Details'!$B$7:$N44,9,0))</f>
        <v>Biomass energy derives from organic materials like agricultural residues, wood, and animal waste. These materials can be processed to produce biofuels, biogas, or used directly for heating and electricity generation.</v>
      </c>
      <c r="E27" s="65"/>
      <c r="F27" s="65"/>
      <c r="G27" s="70"/>
      <c r="H27" s="15"/>
      <c r="I27" s="115" t="str">
        <f>IF($I$7="","",VLOOKUP($I$7,'[1]School Report Details'!$B$7:$N44,10,0))</f>
        <v>Renewable energy sources offer promising alternatives to fossil fuels. Each source presents distinct advantages and challenges, making them complementary in a diversified energy portfolio. A balanced approach and continued research are necessary for a sustainable energy transition.</v>
      </c>
      <c r="J27" s="65"/>
      <c r="K27" s="65"/>
      <c r="L27" s="65"/>
      <c r="M27" s="65"/>
      <c r="N27" s="70"/>
      <c r="O27" s="19"/>
      <c r="P27" s="15"/>
    </row>
    <row r="28" spans="1:16" ht="24" customHeight="1">
      <c r="A28" s="15"/>
      <c r="B28" s="20"/>
      <c r="C28" s="65"/>
      <c r="D28" s="65"/>
      <c r="E28" s="65"/>
      <c r="F28" s="65"/>
      <c r="G28" s="70"/>
      <c r="H28" s="15"/>
      <c r="I28" s="116"/>
      <c r="J28" s="65"/>
      <c r="K28" s="65"/>
      <c r="L28" s="65"/>
      <c r="M28" s="65"/>
      <c r="N28" s="70"/>
      <c r="O28" s="19"/>
      <c r="P28" s="15"/>
    </row>
    <row r="29" spans="1:16" ht="24" customHeight="1">
      <c r="A29" s="15"/>
      <c r="B29" s="20"/>
      <c r="C29" s="65"/>
      <c r="D29" s="65"/>
      <c r="E29" s="65"/>
      <c r="F29" s="65"/>
      <c r="G29" s="70"/>
      <c r="H29" s="15"/>
      <c r="I29" s="116"/>
      <c r="J29" s="65"/>
      <c r="K29" s="65"/>
      <c r="L29" s="65"/>
      <c r="M29" s="65"/>
      <c r="N29" s="70"/>
      <c r="O29" s="19"/>
      <c r="P29" s="15"/>
    </row>
    <row r="30" spans="1:16" ht="24" customHeight="1">
      <c r="A30" s="15"/>
      <c r="B30" s="20"/>
      <c r="C30" s="65"/>
      <c r="D30" s="65"/>
      <c r="E30" s="65"/>
      <c r="F30" s="65"/>
      <c r="G30" s="70"/>
      <c r="H30" s="15"/>
      <c r="I30" s="117"/>
      <c r="J30" s="118"/>
      <c r="K30" s="118"/>
      <c r="L30" s="118"/>
      <c r="M30" s="118"/>
      <c r="N30" s="119"/>
      <c r="O30" s="19"/>
      <c r="P30" s="15"/>
    </row>
    <row r="31" spans="1:16" ht="24" customHeight="1">
      <c r="A31" s="15"/>
      <c r="B31" s="20"/>
      <c r="C31" s="65"/>
      <c r="D31" s="118"/>
      <c r="E31" s="118"/>
      <c r="F31" s="118"/>
      <c r="G31" s="119"/>
      <c r="H31" s="15"/>
      <c r="I31" s="15"/>
      <c r="J31" s="15"/>
      <c r="K31" s="15"/>
      <c r="L31" s="15"/>
      <c r="M31" s="15"/>
      <c r="N31" s="15"/>
      <c r="O31" s="19"/>
      <c r="P31" s="15"/>
    </row>
    <row r="32" spans="1:16" ht="24" customHeight="1">
      <c r="A32" s="15"/>
      <c r="B32" s="20"/>
      <c r="C32" s="15"/>
      <c r="D32" s="15"/>
      <c r="E32" s="15"/>
      <c r="F32" s="15"/>
      <c r="G32" s="15"/>
      <c r="H32" s="15"/>
      <c r="I32" s="64" t="s">
        <v>87</v>
      </c>
      <c r="J32" s="65"/>
      <c r="K32" s="65"/>
      <c r="L32" s="65"/>
      <c r="M32" s="65"/>
      <c r="N32" s="65"/>
      <c r="O32" s="19"/>
      <c r="P32" s="15"/>
    </row>
    <row r="33" spans="1:16" ht="24" customHeight="1">
      <c r="A33" s="15"/>
      <c r="B33" s="20"/>
      <c r="C33" s="64" t="s">
        <v>86</v>
      </c>
      <c r="D33" s="65"/>
      <c r="E33" s="65"/>
      <c r="F33" s="65"/>
      <c r="G33" s="65"/>
      <c r="H33" s="15"/>
      <c r="I33" s="115" t="str">
        <f>IF($I$7="","",VLOOKUP($I$7,'[1]School Report Details'!$B$7:$N44,12,0))</f>
        <v xml:space="preserve">I would like to express my gratitude to Mr. Smith for his guidance and support throughout the preparation of this report.
</v>
      </c>
      <c r="J33" s="65"/>
      <c r="K33" s="65"/>
      <c r="L33" s="65"/>
      <c r="M33" s="65"/>
      <c r="N33" s="70"/>
      <c r="O33" s="19"/>
      <c r="P33" s="15"/>
    </row>
    <row r="34" spans="1:16" ht="24" customHeight="1">
      <c r="A34" s="15"/>
      <c r="B34" s="20"/>
      <c r="C34" s="120" t="str">
        <f>IF($I$7="","",VLOOKUP($I$7,'[1]School Report Details'!$B$7:$N44,11,0))</f>
        <v>1. Investment in Research and Development: Allocate resources for research into more efficient and cost-effective renewable energy technologies.
2. Policy Support: Implement policies that incentivize the adoption of renewable energy solutions and discourage reliance on non-renewable sources.
3. Community Education: Educate communities about the benefits of renewable energy and ways to incorporate it into daily life.</v>
      </c>
      <c r="D34" s="65"/>
      <c r="E34" s="65"/>
      <c r="F34" s="65"/>
      <c r="G34" s="70"/>
      <c r="H34" s="15"/>
      <c r="I34" s="116"/>
      <c r="J34" s="65"/>
      <c r="K34" s="65"/>
      <c r="L34" s="65"/>
      <c r="M34" s="65"/>
      <c r="N34" s="70"/>
      <c r="O34" s="19"/>
      <c r="P34" s="15"/>
    </row>
    <row r="35" spans="1:16" ht="24" customHeight="1">
      <c r="A35" s="15"/>
      <c r="B35" s="20"/>
      <c r="C35" s="116"/>
      <c r="D35" s="65"/>
      <c r="E35" s="65"/>
      <c r="F35" s="65"/>
      <c r="G35" s="70"/>
      <c r="H35" s="15"/>
      <c r="I35" s="117"/>
      <c r="J35" s="118"/>
      <c r="K35" s="118"/>
      <c r="L35" s="118"/>
      <c r="M35" s="118"/>
      <c r="N35" s="119"/>
      <c r="O35" s="19"/>
      <c r="P35" s="15"/>
    </row>
    <row r="36" spans="1:16" ht="24" customHeight="1">
      <c r="A36" s="15"/>
      <c r="B36" s="20"/>
      <c r="C36" s="116"/>
      <c r="D36" s="65"/>
      <c r="E36" s="65"/>
      <c r="F36" s="65"/>
      <c r="G36" s="70"/>
      <c r="H36" s="15"/>
      <c r="I36" s="15"/>
      <c r="J36" s="15"/>
      <c r="K36" s="15"/>
      <c r="L36" s="15"/>
      <c r="M36" s="15"/>
      <c r="N36" s="15"/>
      <c r="O36" s="19"/>
      <c r="P36" s="15"/>
    </row>
    <row r="37" spans="1:16" ht="24" customHeight="1">
      <c r="A37" s="15"/>
      <c r="B37" s="20"/>
      <c r="C37" s="116"/>
      <c r="D37" s="65"/>
      <c r="E37" s="65"/>
      <c r="F37" s="65"/>
      <c r="G37" s="70"/>
      <c r="H37" s="15"/>
      <c r="I37" s="64" t="s">
        <v>85</v>
      </c>
      <c r="J37" s="65"/>
      <c r="K37" s="65"/>
      <c r="L37" s="65"/>
      <c r="M37" s="65"/>
      <c r="N37" s="65"/>
      <c r="O37" s="19"/>
      <c r="P37" s="15"/>
    </row>
    <row r="38" spans="1:16" ht="24" customHeight="1">
      <c r="A38" s="15"/>
      <c r="B38" s="20"/>
      <c r="C38" s="116"/>
      <c r="D38" s="65"/>
      <c r="E38" s="65"/>
      <c r="F38" s="65"/>
      <c r="G38" s="70"/>
      <c r="H38" s="15"/>
      <c r="I38" s="115" t="str">
        <f>IF($I$7="","",VLOOKUP($I$7,'[1]School Report Details'!$B$7:$N44,13,0))</f>
        <v>- Smith, J. (2023). Solar Energy: Principles and Applications. Publisher X.
- Doe, J. (2023). Wind Energy: Harnessing Nature's Power. Publisher Y.
- Brown, A. (2022). Biomass Energy: Sustainable Practices. Publisher Z.</v>
      </c>
      <c r="J38" s="65"/>
      <c r="K38" s="65"/>
      <c r="L38" s="65"/>
      <c r="M38" s="65"/>
      <c r="N38" s="70"/>
      <c r="O38" s="19"/>
      <c r="P38" s="15"/>
    </row>
    <row r="39" spans="1:16" ht="24" customHeight="1">
      <c r="A39" s="15"/>
      <c r="B39" s="20"/>
      <c r="C39" s="116"/>
      <c r="D39" s="65"/>
      <c r="E39" s="65"/>
      <c r="F39" s="65"/>
      <c r="G39" s="70"/>
      <c r="H39" s="15"/>
      <c r="I39" s="116"/>
      <c r="J39" s="65"/>
      <c r="K39" s="65"/>
      <c r="L39" s="65"/>
      <c r="M39" s="65"/>
      <c r="N39" s="70"/>
      <c r="O39" s="19"/>
      <c r="P39" s="15"/>
    </row>
    <row r="40" spans="1:16" ht="24" customHeight="1">
      <c r="A40" s="15"/>
      <c r="B40" s="20"/>
      <c r="C40" s="117"/>
      <c r="D40" s="118"/>
      <c r="E40" s="118"/>
      <c r="F40" s="118"/>
      <c r="G40" s="119"/>
      <c r="H40" s="15"/>
      <c r="I40" s="117"/>
      <c r="J40" s="118"/>
      <c r="K40" s="118"/>
      <c r="L40" s="118"/>
      <c r="M40" s="118"/>
      <c r="N40" s="119"/>
      <c r="O40" s="19"/>
      <c r="P40" s="15"/>
    </row>
    <row r="41" spans="1:16" ht="15.75" customHeight="1">
      <c r="A41" s="15"/>
      <c r="B41" s="18"/>
      <c r="C41" s="17"/>
      <c r="D41" s="17"/>
      <c r="E41" s="17"/>
      <c r="F41" s="17"/>
      <c r="G41" s="17"/>
      <c r="H41" s="17"/>
      <c r="I41" s="17"/>
      <c r="J41" s="17"/>
      <c r="K41" s="17"/>
      <c r="L41" s="17"/>
      <c r="M41" s="17"/>
      <c r="N41" s="17"/>
      <c r="O41" s="16"/>
      <c r="P41" s="15"/>
    </row>
    <row r="42" spans="1:16" ht="24" customHeight="1">
      <c r="A42" s="15"/>
      <c r="B42" s="15"/>
      <c r="C42" s="15"/>
      <c r="D42" s="15"/>
      <c r="E42" s="15"/>
      <c r="F42" s="15"/>
      <c r="G42" s="15"/>
      <c r="H42" s="15"/>
      <c r="I42" s="15"/>
      <c r="J42" s="15"/>
      <c r="K42" s="15"/>
      <c r="L42" s="15"/>
      <c r="M42" s="15"/>
      <c r="N42" s="15"/>
      <c r="O42" s="15"/>
      <c r="P42" s="15"/>
    </row>
    <row r="43" spans="1:16" ht="24" customHeight="1">
      <c r="A43" s="15"/>
      <c r="B43" s="15"/>
      <c r="C43" s="15"/>
      <c r="D43" s="15"/>
      <c r="E43" s="15"/>
      <c r="F43" s="15"/>
      <c r="G43" s="15"/>
      <c r="H43" s="15"/>
      <c r="I43" s="15"/>
      <c r="J43" s="15"/>
      <c r="K43" s="15"/>
      <c r="L43" s="15"/>
      <c r="M43" s="15"/>
      <c r="N43" s="15"/>
      <c r="O43" s="15"/>
      <c r="P43" s="15"/>
    </row>
    <row r="44" spans="1:16" ht="24" customHeight="1">
      <c r="A44" s="15"/>
      <c r="B44" s="15"/>
      <c r="C44" s="15"/>
      <c r="D44" s="15"/>
      <c r="E44" s="15"/>
      <c r="F44" s="15"/>
      <c r="G44" s="15"/>
      <c r="H44" s="15"/>
      <c r="I44" s="15"/>
      <c r="J44" s="15"/>
      <c r="K44" s="15"/>
      <c r="L44" s="15"/>
      <c r="M44" s="15"/>
      <c r="N44" s="15"/>
      <c r="O44" s="15"/>
      <c r="P44" s="15"/>
    </row>
  </sheetData>
  <mergeCells count="32">
    <mergeCell ref="D20:G20"/>
    <mergeCell ref="C20:C25"/>
    <mergeCell ref="D21:G25"/>
    <mergeCell ref="I37:N37"/>
    <mergeCell ref="I38:N40"/>
    <mergeCell ref="I21:N24"/>
    <mergeCell ref="I26:N26"/>
    <mergeCell ref="I27:N30"/>
    <mergeCell ref="I32:N32"/>
    <mergeCell ref="I33:N35"/>
    <mergeCell ref="I20:N20"/>
    <mergeCell ref="C26:C31"/>
    <mergeCell ref="D26:G26"/>
    <mergeCell ref="D27:G31"/>
    <mergeCell ref="C33:G33"/>
    <mergeCell ref="C34:G40"/>
    <mergeCell ref="D10:G10"/>
    <mergeCell ref="D11:G11"/>
    <mergeCell ref="I11:K11"/>
    <mergeCell ref="L11:N11"/>
    <mergeCell ref="C14:C19"/>
    <mergeCell ref="D14:G14"/>
    <mergeCell ref="I10:N10"/>
    <mergeCell ref="D15:G19"/>
    <mergeCell ref="I14:N14"/>
    <mergeCell ref="I15:N18"/>
    <mergeCell ref="B2:O3"/>
    <mergeCell ref="B5:O5"/>
    <mergeCell ref="C7:G7"/>
    <mergeCell ref="I7:N9"/>
    <mergeCell ref="D8:G8"/>
    <mergeCell ref="D9:G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Tabla Gartner</vt:lpstr>
      <vt:lpstr>Informe</vt:lpstr>
      <vt:lpstr>Tabla PM Solutions</vt:lpstr>
      <vt:lpstr>TABLA Gartner - Matrix</vt:lpstr>
      <vt:lpstr>ListaPMOs</vt:lpstr>
      <vt:lpstr>Tabla Recomendaciones</vt:lpstr>
      <vt:lpstr>Informe - Backup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pablo alejandre del rio</cp:lastModifiedBy>
  <cp:revision/>
  <dcterms:created xsi:type="dcterms:W3CDTF">2024-04-17T20:11:13Z</dcterms:created>
  <dcterms:modified xsi:type="dcterms:W3CDTF">2024-05-20T12:17:31Z</dcterms:modified>
  <cp:category/>
  <cp:contentStatus/>
</cp:coreProperties>
</file>